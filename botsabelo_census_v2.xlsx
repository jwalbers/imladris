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lbers/git/Fastpilot/imladris/"/>
    </mc:Choice>
  </mc:AlternateContent>
  <xr:revisionPtr revIDLastSave="0" documentId="8_{17E07749-0528-354F-A8E4-43A8BF692CB1}" xr6:coauthVersionLast="47" xr6:coauthVersionMax="47" xr10:uidLastSave="{00000000-0000-0000-0000-000000000000}"/>
  <bookViews>
    <workbookView xWindow="40" yWindow="660" windowWidth="34280" windowHeight="21140" xr2:uid="{9F2FE819-8B7A-C341-9248-DA57828DF686}"/>
  </bookViews>
  <sheets>
    <sheet name="botsabelo_census_v2" sheetId="1" r:id="rId1"/>
    <sheet name="Sheet1" sheetId="2" r:id="rId2"/>
  </sheets>
  <definedNames>
    <definedName name="Orig_Patient_ID">Sheet1!$A$2:$A$51</definedName>
    <definedName name="Patient_birthdate">Sheet1!$I$2:$I$51</definedName>
    <definedName name="Patient_ID">Sheet1!$B$2:$B$51</definedName>
  </definedNames>
  <calcPr calcId="0"/>
</workbook>
</file>

<file path=xl/calcChain.xml><?xml version="1.0" encoding="utf-8"?>
<calcChain xmlns="http://schemas.openxmlformats.org/spreadsheetml/2006/main">
  <c r="F51" i="1" l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<sst xmlns="http://schemas.openxmlformats.org/spreadsheetml/2006/main" count="1239" uniqueCount="471">
  <si>
    <t>Patient_ID</t>
  </si>
  <si>
    <t>Name</t>
  </si>
  <si>
    <t>Age</t>
  </si>
  <si>
    <t>Gender</t>
  </si>
  <si>
    <t>District</t>
  </si>
  <si>
    <t>HIV_Status</t>
  </si>
  <si>
    <t>CD4_Count</t>
  </si>
  <si>
    <t>MDR_Status</t>
  </si>
  <si>
    <t>Weight_Loss</t>
  </si>
  <si>
    <t>FASH_Ultrasound_Finding</t>
  </si>
  <si>
    <t>BHTB-2026-001</t>
  </si>
  <si>
    <t>Nthabiseng Khoza</t>
  </si>
  <si>
    <t>F</t>
  </si>
  <si>
    <t>Quthing</t>
  </si>
  <si>
    <t>Positive</t>
  </si>
  <si>
    <t>Confirmed (Rifampicin Resistant)</t>
  </si>
  <si>
    <t>Moderate</t>
  </si>
  <si>
    <t>Positive - Pleural Effusion (Fluid in lung base)</t>
  </si>
  <si>
    <t>BHTB-2026-002</t>
  </si>
  <si>
    <t>Tumelo Sebatane</t>
  </si>
  <si>
    <t>M</t>
  </si>
  <si>
    <t>Leribe</t>
  </si>
  <si>
    <t>Severe</t>
  </si>
  <si>
    <t>Normal - No free fluid or lymphadenopathy</t>
  </si>
  <si>
    <t>BHTB-2026-003</t>
  </si>
  <si>
    <t>Rethabile Ramohapi</t>
  </si>
  <si>
    <t>Mokhotlong</t>
  </si>
  <si>
    <t>BHTB-2026-004</t>
  </si>
  <si>
    <t>Lethabo Tau</t>
  </si>
  <si>
    <t>Thaba-Tseka</t>
  </si>
  <si>
    <t>BHTB-2026-005</t>
  </si>
  <si>
    <t>Rethabile Lekhanya</t>
  </si>
  <si>
    <t>Negative</t>
  </si>
  <si>
    <t>N/A</t>
  </si>
  <si>
    <t>None</t>
  </si>
  <si>
    <t>BHTB-2026-006</t>
  </si>
  <si>
    <t>Lethabo Mokoena</t>
  </si>
  <si>
    <t>BHTB-2026-007</t>
  </si>
  <si>
    <t>Thabo Mokoena</t>
  </si>
  <si>
    <t>BHTB-2026-008</t>
  </si>
  <si>
    <t>Mpho Mokoena</t>
  </si>
  <si>
    <t>BHTB-2026-009</t>
  </si>
  <si>
    <t>Thabo Tau</t>
  </si>
  <si>
    <t>Positive - Splenic Microabscesses ('Starry Sky' appearance)</t>
  </si>
  <si>
    <t>BHTB-2026-010</t>
  </si>
  <si>
    <t>Mpho Tau</t>
  </si>
  <si>
    <t>BHTB-2026-011</t>
  </si>
  <si>
    <t>Lerato Lekhanya</t>
  </si>
  <si>
    <t>Maseru</t>
  </si>
  <si>
    <t>Positive - Pericardial Effusion (Fluid around heart)</t>
  </si>
  <si>
    <t>BHTB-2026-012</t>
  </si>
  <si>
    <t>Rethabile Letseka</t>
  </si>
  <si>
    <t>Mafeteng</t>
  </si>
  <si>
    <t>BHTB-2026-013</t>
  </si>
  <si>
    <t>BHTB-2026-014</t>
  </si>
  <si>
    <t>Tsepang Molapo</t>
  </si>
  <si>
    <t>BHTB-2026-015</t>
  </si>
  <si>
    <t>Mamello Sebatane</t>
  </si>
  <si>
    <t>BHTB-2026-016</t>
  </si>
  <si>
    <t>Nthabiseng Letseka</t>
  </si>
  <si>
    <t>BHTB-2026-017</t>
  </si>
  <si>
    <t>BHTB-2026-018</t>
  </si>
  <si>
    <t>Mamello Tau</t>
  </si>
  <si>
    <t>BHTB-2026-019</t>
  </si>
  <si>
    <t>Thabo Lekhanya</t>
  </si>
  <si>
    <t>BHTB-2026-020</t>
  </si>
  <si>
    <t>Tsepang Mokoena</t>
  </si>
  <si>
    <t>BHTB-2026-021</t>
  </si>
  <si>
    <t>BHTB-2026-022</t>
  </si>
  <si>
    <t>Tumelo Ramohapi</t>
  </si>
  <si>
    <t>BHTB-2026-023</t>
  </si>
  <si>
    <t>Tumelo Tau</t>
  </si>
  <si>
    <t>Positive - Abdominal Lymphadenopathy (Enlarged nodes)</t>
  </si>
  <si>
    <t>BHTB-2026-024</t>
  </si>
  <si>
    <t>Lethabo Khoza</t>
  </si>
  <si>
    <t>BHTB-2026-025</t>
  </si>
  <si>
    <t>Rethabile Khoza</t>
  </si>
  <si>
    <t>BHTB-2026-026</t>
  </si>
  <si>
    <t>Mpho Molapo</t>
  </si>
  <si>
    <t>BHTB-2026-027</t>
  </si>
  <si>
    <t>BHTB-2026-028</t>
  </si>
  <si>
    <t>BHTB-2026-029</t>
  </si>
  <si>
    <t>Kabelo Letseka</t>
  </si>
  <si>
    <t>BHTB-2026-030</t>
  </si>
  <si>
    <t>Rethabile Tau</t>
  </si>
  <si>
    <t>BHTB-2026-031</t>
  </si>
  <si>
    <t>Lethabo Letseka</t>
  </si>
  <si>
    <t>BHTB-2026-032</t>
  </si>
  <si>
    <t>BHTB-2026-033</t>
  </si>
  <si>
    <t>Lerato Tau</t>
  </si>
  <si>
    <t>BHTB-2026-034</t>
  </si>
  <si>
    <t>Mamello Letseka</t>
  </si>
  <si>
    <t>BHTB-2026-035</t>
  </si>
  <si>
    <t>Lerato Molapo</t>
  </si>
  <si>
    <t>BHTB-2026-036</t>
  </si>
  <si>
    <t>Kabelo Mokoena</t>
  </si>
  <si>
    <t>BHTB-2026-037</t>
  </si>
  <si>
    <t>Mpho Sebatane</t>
  </si>
  <si>
    <t>BHTB-2026-038</t>
  </si>
  <si>
    <t>BHTB-2026-039</t>
  </si>
  <si>
    <t>Thabo Khoza</t>
  </si>
  <si>
    <t>BHTB-2026-040</t>
  </si>
  <si>
    <t>Tumelo Lekhanya</t>
  </si>
  <si>
    <t>BHTB-2026-041</t>
  </si>
  <si>
    <t>Kabelo Sebatane</t>
  </si>
  <si>
    <t>BHTB-2026-042</t>
  </si>
  <si>
    <t>Mpho Khoza</t>
  </si>
  <si>
    <t>BHTB-2026-043</t>
  </si>
  <si>
    <t>Lethabo Sebatane</t>
  </si>
  <si>
    <t>BHTB-2026-044</t>
  </si>
  <si>
    <t>BHTB-2026-045</t>
  </si>
  <si>
    <t>Lerato Sebatane</t>
  </si>
  <si>
    <t>BHTB-2026-046</t>
  </si>
  <si>
    <t>BHTB-2026-047</t>
  </si>
  <si>
    <t>Tumelo Molapo</t>
  </si>
  <si>
    <t>BHTB-2026-048</t>
  </si>
  <si>
    <t>BHTB-2026-049</t>
  </si>
  <si>
    <t>Nthabiseng Molapo</t>
  </si>
  <si>
    <t>BHTB-2026-050</t>
  </si>
  <si>
    <t>Tsepang Tau</t>
  </si>
  <si>
    <t>gs://botsabelo-hospital-records/botsabelo_processed/ultrasound_cine/BHTB-2026-001/CINE_BHTB-2026-001.dcm</t>
  </si>
  <si>
    <t>gs://botsabelo-hospital-records/botsabelo_processed/ultrasound_cine/BHTB-2026-002/CINE_BHTB-2026-002.dcm</t>
  </si>
  <si>
    <t>gs://botsabelo-hospital-records/botsabelo_processed/ultrasound_cine/BHTB-2026-003/CINE_BHTB-2026-003.dcm</t>
  </si>
  <si>
    <t>gs://botsabelo-hospital-records/botsabelo_processed/ultrasound_cine/BHTB-2026-004/CINE_BHTB-2026-004.dcm</t>
  </si>
  <si>
    <t>gs://botsabelo-hospital-records/botsabelo_processed/ultrasound_cine/BHTB-2026-005/CINE_BHTB-2026-005.dcm</t>
  </si>
  <si>
    <t>gs://botsabelo-hospital-records/botsabelo_processed/ultrasound_cine/BHTB-2026-006/CINE_BHTB-2026-006.dcm</t>
  </si>
  <si>
    <t>gs://botsabelo-hospital-records/botsabelo_processed/ultrasound_cine/BHTB-2026-007/CINE_BHTB-2026-007.dcm</t>
  </si>
  <si>
    <t>gs://botsabelo-hospital-records/botsabelo_processed/ultrasound_cine/BHTB-2026-008/CINE_BHTB-2026-008.dcm</t>
  </si>
  <si>
    <t>gs://botsabelo-hospital-records/botsabelo_processed/ultrasound_cine/BHTB-2026-009/CINE_BHTB-2026-009.dcm</t>
  </si>
  <si>
    <t>gs://botsabelo-hospital-records/botsabelo_processed/ultrasound_cine/BHTB-2026-010/CINE_BHTB-2026-010.dcm</t>
  </si>
  <si>
    <t>gs://botsabelo-hospital-records/botsabelo_processed/ultrasound_cine/BHTB-2026-011/CINE_BHTB-2026-011.dcm</t>
  </si>
  <si>
    <t>gs://botsabelo-hospital-records/botsabelo_processed/ultrasound_cine/BHTB-2026-012/CINE_BHTB-2026-012.dcm</t>
  </si>
  <si>
    <t>gs://botsabelo-hospital-records/botsabelo_processed/ultrasound_cine/BHTB-2026-013/CINE_BHTB-2026-013.dcm</t>
  </si>
  <si>
    <t>gs://botsabelo-hospital-records/botsabelo_processed/ultrasound_cine/BHTB-2026-014/CINE_BHTB-2026-014.dcm</t>
  </si>
  <si>
    <t>gs://botsabelo-hospital-records/botsabelo_processed/ultrasound_cine/BHTB-2026-015/CINE_BHTB-2026-015.dcm</t>
  </si>
  <si>
    <t>gs://botsabelo-hospital-records/botsabelo_processed/ultrasound_cine/BHTB-2026-016/CINE_BHTB-2026-016.dcm</t>
  </si>
  <si>
    <t>gs://botsabelo-hospital-records/botsabelo_processed/ultrasound_cine/BHTB-2026-017/CINE_BHTB-2026-017.dcm</t>
  </si>
  <si>
    <t>gs://botsabelo-hospital-records/botsabelo_processed/ultrasound_cine/BHTB-2026-018/CINE_BHTB-2026-018.dcm</t>
  </si>
  <si>
    <t>gs://botsabelo-hospital-records/botsabelo_processed/ultrasound_cine/BHTB-2026-019/CINE_BHTB-2026-019.dcm</t>
  </si>
  <si>
    <t>gs://botsabelo-hospital-records/botsabelo_processed/ultrasound_cine/BHTB-2026-020/CINE_BHTB-2026-020.dcm</t>
  </si>
  <si>
    <t>gs://botsabelo-hospital-records/botsabelo_processed/ultrasound_cine/BHTB-2026-021/CINE_BHTB-2026-021.dcm</t>
  </si>
  <si>
    <t>gs://botsabelo-hospital-records/botsabelo_processed/ultrasound_cine/BHTB-2026-022/CINE_BHTB-2026-022.dcm</t>
  </si>
  <si>
    <t>gs://botsabelo-hospital-records/botsabelo_processed/ultrasound_cine/BHTB-2026-023/CINE_BHTB-2026-023.dcm</t>
  </si>
  <si>
    <t>gs://botsabelo-hospital-records/botsabelo_processed/ultrasound_cine/BHTB-2026-024/CINE_BHTB-2026-024.dcm</t>
  </si>
  <si>
    <t>gs://botsabelo-hospital-records/botsabelo_processed/ultrasound_cine/BHTB-2026-025/CINE_BHTB-2026-025.dcm</t>
  </si>
  <si>
    <t>gs://botsabelo-hospital-records/botsabelo_processed/ultrasound_cine/BHTB-2026-026/CINE_BHTB-2026-026.dcm</t>
  </si>
  <si>
    <t>gs://botsabelo-hospital-records/botsabelo_processed/ultrasound_cine/BHTB-2026-027/CINE_BHTB-2026-027.dcm</t>
  </si>
  <si>
    <t>gs://botsabelo-hospital-records/botsabelo_processed/ultrasound_cine/BHTB-2026-028/CINE_BHTB-2026-028.dcm</t>
  </si>
  <si>
    <t>gs://botsabelo-hospital-records/botsabelo_processed/ultrasound_cine/BHTB-2026-029/CINE_BHTB-2026-029.dcm</t>
  </si>
  <si>
    <t>gs://botsabelo-hospital-records/botsabelo_processed/ultrasound_cine/BHTB-2026-030/CINE_BHTB-2026-030.dcm</t>
  </si>
  <si>
    <t>gs://botsabelo-hospital-records/botsabelo_processed/ultrasound_cine/BHTB-2026-031/CINE_BHTB-2026-031.dcm</t>
  </si>
  <si>
    <t>gs://botsabelo-hospital-records/botsabelo_processed/ultrasound_cine/BHTB-2026-032/CINE_BHTB-2026-032.dcm</t>
  </si>
  <si>
    <t>gs://botsabelo-hospital-records/botsabelo_processed/ultrasound_cine/BHTB-2026-033/CINE_BHTB-2026-033.dcm</t>
  </si>
  <si>
    <t>gs://botsabelo-hospital-records/botsabelo_processed/ultrasound_cine/BHTB-2026-034/CINE_BHTB-2026-034.dcm</t>
  </si>
  <si>
    <t>gs://botsabelo-hospital-records/botsabelo_processed/ultrasound_cine/BHTB-2026-035/CINE_BHTB-2026-035.dcm</t>
  </si>
  <si>
    <t>gs://botsabelo-hospital-records/botsabelo_processed/ultrasound_cine/BHTB-2026-036/CINE_BHTB-2026-036.dcm</t>
  </si>
  <si>
    <t>gs://botsabelo-hospital-records/botsabelo_processed/ultrasound_cine/BHTB-2026-037/CINE_BHTB-2026-037.dcm</t>
  </si>
  <si>
    <t>gs://botsabelo-hospital-records/botsabelo_processed/ultrasound_cine/BHTB-2026-038/CINE_BHTB-2026-038.dcm</t>
  </si>
  <si>
    <t>gs://botsabelo-hospital-records/botsabelo_processed/ultrasound_cine/BHTB-2026-039/CINE_BHTB-2026-039.dcm</t>
  </si>
  <si>
    <t>gs://botsabelo-hospital-records/botsabelo_processed/ultrasound_cine/BHTB-2026-040/CINE_BHTB-2026-040.dcm</t>
  </si>
  <si>
    <t>gs://botsabelo-hospital-records/botsabelo_processed/ultrasound_cine/BHTB-2026-041/CINE_BHTB-2026-041.dcm</t>
  </si>
  <si>
    <t>gs://botsabelo-hospital-records/botsabelo_processed/ultrasound_cine/BHTB-2026-042/CINE_BHTB-2026-042.dcm</t>
  </si>
  <si>
    <t>gs://botsabelo-hospital-records/botsabelo_processed/ultrasound_cine/BHTB-2026-043/CINE_BHTB-2026-043.dcm</t>
  </si>
  <si>
    <t>gs://botsabelo-hospital-records/botsabelo_processed/ultrasound_cine/BHTB-2026-044/CINE_BHTB-2026-044.dcm</t>
  </si>
  <si>
    <t>gs://botsabelo-hospital-records/botsabelo_processed/ultrasound_cine/BHTB-2026-045/CINE_BHTB-2026-045.dcm</t>
  </si>
  <si>
    <t>gs://botsabelo-hospital-records/botsabelo_processed/ultrasound_cine/BHTB-2026-046/CINE_BHTB-2026-046.dcm</t>
  </si>
  <si>
    <t>gs://botsabelo-hospital-records/botsabelo_processed/ultrasound_cine/BHTB-2026-047/CINE_BHTB-2026-047.dcm</t>
  </si>
  <si>
    <t>gs://botsabelo-hospital-records/botsabelo_processed/ultrasound_cine/BHTB-2026-048/CINE_BHTB-2026-048.dcm</t>
  </si>
  <si>
    <t>gs://botsabelo-hospital-records/botsabelo_processed/ultrasound_cine/BHTB-2026-049/CINE_BHTB-2026-049.dcm</t>
  </si>
  <si>
    <t>gs://botsabelo-hospital-records/botsabelo_processed/ultrasound_cine/BHTB-2026-050/CINE_BHTB-2026-050.dcm</t>
  </si>
  <si>
    <t>CR_raw</t>
  </si>
  <si>
    <t>gs://botsabelo-hospital-records/botsabelo_raw/TB_Chest_Radiography_Database/Tuberculosis/Tuberculosis-1.png</t>
  </si>
  <si>
    <t>gs://botsabelo-hospital-records/botsabelo_processed/xray/BHTB-2026-001/XRAY_BHTB-2026-001.dcm</t>
  </si>
  <si>
    <t>gs://botsabelo-hospital-records/botsabelo_raw/TB_Chest_Radiography_Database/Tuberculosis/Tuberculosis-10.png</t>
  </si>
  <si>
    <t>gs://botsabelo-hospital-records/botsabelo_processed/xray/BHTB-2026-002/XRAY_BHTB-2026-002.dcm</t>
  </si>
  <si>
    <t>gs://botsabelo-hospital-records/botsabelo_raw/TB_Chest_Radiography_Database/Tuberculosis/Tuberculosis-100.png</t>
  </si>
  <si>
    <t>gs://botsabelo-hospital-records/botsabelo_processed/xray/BHTB-2026-003/XRAY_BHTB-2026-003.dcm</t>
  </si>
  <si>
    <t>gs://botsabelo-hospital-records/botsabelo_raw/TB_Chest_Radiography_Database/Tuberculosis/Tuberculosis-101.png</t>
  </si>
  <si>
    <t>gs://botsabelo-hospital-records/botsabelo_processed/xray/BHTB-2026-004/XRAY_BHTB-2026-004.dcm</t>
  </si>
  <si>
    <t>gs://botsabelo-hospital-records/botsabelo_raw/TB_Chest_Radiography_Database/Tuberculosis/Tuberculosis-102.png</t>
  </si>
  <si>
    <t>gs://botsabelo-hospital-records/botsabelo_processed/xray/BHTB-2026-005/XRAY_BHTB-2026-005.dcm</t>
  </si>
  <si>
    <t>gs://botsabelo-hospital-records/botsabelo_raw/TB_Chest_Radiography_Database/Tuberculosis/Tuberculosis-103.png</t>
  </si>
  <si>
    <t>gs://botsabelo-hospital-records/botsabelo_processed/xray/BHTB-2026-006/XRAY_BHTB-2026-006.dcm</t>
  </si>
  <si>
    <t>gs://botsabelo-hospital-records/botsabelo_raw/TB_Chest_Radiography_Database/Tuberculosis/Tuberculosis-104.png</t>
  </si>
  <si>
    <t>gs://botsabelo-hospital-records/botsabelo_processed/xray/BHTB-2026-007/XRAY_BHTB-2026-007.dcm</t>
  </si>
  <si>
    <t>gs://botsabelo-hospital-records/botsabelo_raw/TB_Chest_Radiography_Database/Tuberculosis/Tuberculosis-105.png</t>
  </si>
  <si>
    <t>gs://botsabelo-hospital-records/botsabelo_processed/xray/BHTB-2026-008/XRAY_BHTB-2026-008.dcm</t>
  </si>
  <si>
    <t>gs://botsabelo-hospital-records/botsabelo_raw/TB_Chest_Radiography_Database/Tuberculosis/Tuberculosis-106.png</t>
  </si>
  <si>
    <t>gs://botsabelo-hospital-records/botsabelo_processed/xray/BHTB-2026-009/XRAY_BHTB-2026-009.dcm</t>
  </si>
  <si>
    <t>gs://botsabelo-hospital-records/botsabelo_raw/TB_Chest_Radiography_Database/Tuberculosis/Tuberculosis-107.png</t>
  </si>
  <si>
    <t>gs://botsabelo-hospital-records/botsabelo_processed/xray/BHTB-2026-010/XRAY_BHTB-2026-010.dcm</t>
  </si>
  <si>
    <t>gs://botsabelo-hospital-records/botsabelo_raw/TB_Chest_Radiography_Database/Tuberculosis/Tuberculosis-108.png</t>
  </si>
  <si>
    <t>gs://botsabelo-hospital-records/botsabelo_processed/xray/BHTB-2026-011/XRAY_BHTB-2026-011.dcm</t>
  </si>
  <si>
    <t>gs://botsabelo-hospital-records/botsabelo_raw/TB_Chest_Radiography_Database/Tuberculosis/Tuberculosis-109.png</t>
  </si>
  <si>
    <t>gs://botsabelo-hospital-records/botsabelo_processed/xray/BHTB-2026-012/XRAY_BHTB-2026-012.dcm</t>
  </si>
  <si>
    <t>gs://botsabelo-hospital-records/botsabelo_raw/TB_Chest_Radiography_Database/Tuberculosis/Tuberculosis-11.png</t>
  </si>
  <si>
    <t>gs://botsabelo-hospital-records/botsabelo_processed/xray/BHTB-2026-013/XRAY_BHTB-2026-013.dcm</t>
  </si>
  <si>
    <t>gs://botsabelo-hospital-records/botsabelo_raw/TB_Chest_Radiography_Database/Tuberculosis/Tuberculosis-110.png</t>
  </si>
  <si>
    <t>gs://botsabelo-hospital-records/botsabelo_processed/xray/BHTB-2026-014/XRAY_BHTB-2026-014.dcm</t>
  </si>
  <si>
    <t>gs://botsabelo-hospital-records/botsabelo_raw/TB_Chest_Radiography_Database/Tuberculosis/Tuberculosis-111.png</t>
  </si>
  <si>
    <t>gs://botsabelo-hospital-records/botsabelo_processed/xray/BHTB-2026-015/XRAY_BHTB-2026-015.dcm</t>
  </si>
  <si>
    <t>gs://botsabelo-hospital-records/botsabelo_raw/TB_Chest_Radiography_Database/Tuberculosis/Tuberculosis-112.png</t>
  </si>
  <si>
    <t>gs://botsabelo-hospital-records/botsabelo_processed/xray/BHTB-2026-016/XRAY_BHTB-2026-016.dcm</t>
  </si>
  <si>
    <t>gs://botsabelo-hospital-records/botsabelo_raw/TB_Chest_Radiography_Database/Tuberculosis/Tuberculosis-113.png</t>
  </si>
  <si>
    <t>gs://botsabelo-hospital-records/botsabelo_processed/xray/BHTB-2026-017/XRAY_BHTB-2026-017.dcm</t>
  </si>
  <si>
    <t>gs://botsabelo-hospital-records/botsabelo_raw/TB_Chest_Radiography_Database/Tuberculosis/Tuberculosis-114.png</t>
  </si>
  <si>
    <t>gs://botsabelo-hospital-records/botsabelo_processed/xray/BHTB-2026-018/XRAY_BHTB-2026-018.dcm</t>
  </si>
  <si>
    <t>gs://botsabelo-hospital-records/botsabelo_raw/TB_Chest_Radiography_Database/Tuberculosis/Tuberculosis-115.png</t>
  </si>
  <si>
    <t>gs://botsabelo-hospital-records/botsabelo_processed/xray/BHTB-2026-019/XRAY_BHTB-2026-019.dcm</t>
  </si>
  <si>
    <t>gs://botsabelo-hospital-records/botsabelo_raw/TB_Chest_Radiography_Database/Tuberculosis/Tuberculosis-116.png</t>
  </si>
  <si>
    <t>gs://botsabelo-hospital-records/botsabelo_processed/xray/BHTB-2026-020/XRAY_BHTB-2026-020.dcm</t>
  </si>
  <si>
    <t>gs://botsabelo-hospital-records/botsabelo_raw/TB_Chest_Radiography_Database/Tuberculosis/Tuberculosis-117.png</t>
  </si>
  <si>
    <t>gs://botsabelo-hospital-records/botsabelo_processed/xray/BHTB-2026-021/XRAY_BHTB-2026-021.dcm</t>
  </si>
  <si>
    <t>gs://botsabelo-hospital-records/botsabelo_raw/TB_Chest_Radiography_Database/Tuberculosis/Tuberculosis-118.png</t>
  </si>
  <si>
    <t>gs://botsabelo-hospital-records/botsabelo_processed/xray/BHTB-2026-022/XRAY_BHTB-2026-022.dcm</t>
  </si>
  <si>
    <t>gs://botsabelo-hospital-records/botsabelo_raw/TB_Chest_Radiography_Database/Tuberculosis/Tuberculosis-119.png</t>
  </si>
  <si>
    <t>gs://botsabelo-hospital-records/botsabelo_processed/xray/BHTB-2026-023/XRAY_BHTB-2026-023.dcm</t>
  </si>
  <si>
    <t>gs://botsabelo-hospital-records/botsabelo_raw/TB_Chest_Radiography_Database/Tuberculosis/Tuberculosis-12.png</t>
  </si>
  <si>
    <t>gs://botsabelo-hospital-records/botsabelo_processed/xray/BHTB-2026-024/XRAY_BHTB-2026-024.dcm</t>
  </si>
  <si>
    <t>gs://botsabelo-hospital-records/botsabelo_raw/TB_Chest_Radiography_Database/Tuberculosis/Tuberculosis-120.png</t>
  </si>
  <si>
    <t>gs://botsabelo-hospital-records/botsabelo_processed/xray/BHTB-2026-025/XRAY_BHTB-2026-025.dcm</t>
  </si>
  <si>
    <t>gs://botsabelo-hospital-records/botsabelo_raw/TB_Chest_Radiography_Database/Tuberculosis/Tuberculosis-121.png</t>
  </si>
  <si>
    <t>gs://botsabelo-hospital-records/botsabelo_processed/xray/BHTB-2026-026/XRAY_BHTB-2026-026.dcm</t>
  </si>
  <si>
    <t>gs://botsabelo-hospital-records/botsabelo_raw/TB_Chest_Radiography_Database/Tuberculosis/Tuberculosis-122.png</t>
  </si>
  <si>
    <t>gs://botsabelo-hospital-records/botsabelo_processed/xray/BHTB-2026-027/XRAY_BHTB-2026-027.dcm</t>
  </si>
  <si>
    <t>gs://botsabelo-hospital-records/botsabelo_raw/TB_Chest_Radiography_Database/Tuberculosis/Tuberculosis-123.png</t>
  </si>
  <si>
    <t>gs://botsabelo-hospital-records/botsabelo_processed/xray/BHTB-2026-028/XRAY_BHTB-2026-028.dcm</t>
  </si>
  <si>
    <t>gs://botsabelo-hospital-records/botsabelo_raw/TB_Chest_Radiography_Database/Tuberculosis/Tuberculosis-124.png</t>
  </si>
  <si>
    <t>gs://botsabelo-hospital-records/botsabelo_processed/xray/BHTB-2026-029/XRAY_BHTB-2026-029.dcm</t>
  </si>
  <si>
    <t>gs://botsabelo-hospital-records/botsabelo_raw/TB_Chest_Radiography_Database/Tuberculosis/Tuberculosis-125.png</t>
  </si>
  <si>
    <t>gs://botsabelo-hospital-records/botsabelo_processed/xray/BHTB-2026-030/XRAY_BHTB-2026-030.dcm</t>
  </si>
  <si>
    <t>gs://botsabelo-hospital-records/botsabelo_raw/TB_Chest_Radiography_Database/Tuberculosis/Tuberculosis-126.png</t>
  </si>
  <si>
    <t>gs://botsabelo-hospital-records/botsabelo_processed/xray/BHTB-2026-031/XRAY_BHTB-2026-031.dcm</t>
  </si>
  <si>
    <t>gs://botsabelo-hospital-records/botsabelo_raw/TB_Chest_Radiography_Database/Tuberculosis/Tuberculosis-127.png</t>
  </si>
  <si>
    <t>gs://botsabelo-hospital-records/botsabelo_processed/xray/BHTB-2026-032/XRAY_BHTB-2026-032.dcm</t>
  </si>
  <si>
    <t>gs://botsabelo-hospital-records/botsabelo_raw/TB_Chest_Radiography_Database/Tuberculosis/Tuberculosis-128.png</t>
  </si>
  <si>
    <t>gs://botsabelo-hospital-records/botsabelo_processed/xray/BHTB-2026-033/XRAY_BHTB-2026-033.dcm</t>
  </si>
  <si>
    <t>gs://botsabelo-hospital-records/botsabelo_raw/TB_Chest_Radiography_Database/Tuberculosis/Tuberculosis-129.png</t>
  </si>
  <si>
    <t>gs://botsabelo-hospital-records/botsabelo_processed/xray/BHTB-2026-034/XRAY_BHTB-2026-034.dcm</t>
  </si>
  <si>
    <t>gs://botsabelo-hospital-records/botsabelo_raw/TB_Chest_Radiography_Database/Tuberculosis/Tuberculosis-13.png</t>
  </si>
  <si>
    <t>gs://botsabelo-hospital-records/botsabelo_processed/xray/BHTB-2026-035/XRAY_BHTB-2026-035.dcm</t>
  </si>
  <si>
    <t>gs://botsabelo-hospital-records/botsabelo_raw/TB_Chest_Radiography_Database/Tuberculosis/Tuberculosis-130.png</t>
  </si>
  <si>
    <t>gs://botsabelo-hospital-records/botsabelo_processed/xray/BHTB-2026-036/XRAY_BHTB-2026-036.dcm</t>
  </si>
  <si>
    <t>gs://botsabelo-hospital-records/botsabelo_raw/TB_Chest_Radiography_Database/Tuberculosis/Tuberculosis-131.png</t>
  </si>
  <si>
    <t>gs://botsabelo-hospital-records/botsabelo_processed/xray/BHTB-2026-037/XRAY_BHTB-2026-037.dcm</t>
  </si>
  <si>
    <t>gs://botsabelo-hospital-records/botsabelo_raw/TB_Chest_Radiography_Database/Tuberculosis/Tuberculosis-132.png</t>
  </si>
  <si>
    <t>gs://botsabelo-hospital-records/botsabelo_processed/xray/BHTB-2026-038/XRAY_BHTB-2026-038.dcm</t>
  </si>
  <si>
    <t>gs://botsabelo-hospital-records/botsabelo_raw/TB_Chest_Radiography_Database/Tuberculosis/Tuberculosis-133.png</t>
  </si>
  <si>
    <t>gs://botsabelo-hospital-records/botsabelo_processed/xray/BHTB-2026-039/XRAY_BHTB-2026-039.dcm</t>
  </si>
  <si>
    <t>gs://botsabelo-hospital-records/botsabelo_raw/TB_Chest_Radiography_Database/Tuberculosis/Tuberculosis-134.png</t>
  </si>
  <si>
    <t>gs://botsabelo-hospital-records/botsabelo_processed/xray/BHTB-2026-040/XRAY_BHTB-2026-040.dcm</t>
  </si>
  <si>
    <t>gs://botsabelo-hospital-records/botsabelo_raw/TB_Chest_Radiography_Database/Tuberculosis/Tuberculosis-135.png</t>
  </si>
  <si>
    <t>gs://botsabelo-hospital-records/botsabelo_processed/xray/BHTB-2026-041/XRAY_BHTB-2026-041.dcm</t>
  </si>
  <si>
    <t>gs://botsabelo-hospital-records/botsabelo_raw/TB_Chest_Radiography_Database/Tuberculosis/Tuberculosis-136.png</t>
  </si>
  <si>
    <t>gs://botsabelo-hospital-records/botsabelo_processed/xray/BHTB-2026-042/XRAY_BHTB-2026-042.dcm</t>
  </si>
  <si>
    <t>gs://botsabelo-hospital-records/botsabelo_raw/TB_Chest_Radiography_Database/Tuberculosis/Tuberculosis-137.png</t>
  </si>
  <si>
    <t>gs://botsabelo-hospital-records/botsabelo_processed/xray/BHTB-2026-043/XRAY_BHTB-2026-043.dcm</t>
  </si>
  <si>
    <t>gs://botsabelo-hospital-records/botsabelo_raw/TB_Chest_Radiography_Database/Tuberculosis/Tuberculosis-138.png</t>
  </si>
  <si>
    <t>gs://botsabelo-hospital-records/botsabelo_processed/xray/BHTB-2026-044/XRAY_BHTB-2026-044.dcm</t>
  </si>
  <si>
    <t>gs://botsabelo-hospital-records/botsabelo_raw/TB_Chest_Radiography_Database/Tuberculosis/Tuberculosis-139.png</t>
  </si>
  <si>
    <t>gs://botsabelo-hospital-records/botsabelo_processed/xray/BHTB-2026-045/XRAY_BHTB-2026-045.dcm</t>
  </si>
  <si>
    <t>gs://botsabelo-hospital-records/botsabelo_raw/TB_Chest_Radiography_Database/Tuberculosis/Tuberculosis-14.png</t>
  </si>
  <si>
    <t>gs://botsabelo-hospital-records/botsabelo_processed/xray/BHTB-2026-046/XRAY_BHTB-2026-046.dcm</t>
  </si>
  <si>
    <t>gs://botsabelo-hospital-records/botsabelo_raw/TB_Chest_Radiography_Database/Tuberculosis/Tuberculosis-140.png</t>
  </si>
  <si>
    <t>gs://botsabelo-hospital-records/botsabelo_processed/xray/BHTB-2026-047/XRAY_BHTB-2026-047.dcm</t>
  </si>
  <si>
    <t>gs://botsabelo-hospital-records/botsabelo_raw/TB_Chest_Radiography_Database/Tuberculosis/Tuberculosis-141.png</t>
  </si>
  <si>
    <t>gs://botsabelo-hospital-records/botsabelo_processed/xray/BHTB-2026-048/XRAY_BHTB-2026-048.dcm</t>
  </si>
  <si>
    <t>gs://botsabelo-hospital-records/botsabelo_raw/TB_Chest_Radiography_Database/Tuberculosis/Tuberculosis-142.png</t>
  </si>
  <si>
    <t>gs://botsabelo-hospital-records/botsabelo_processed/xray/BHTB-2026-049/XRAY_BHTB-2026-049.dcm</t>
  </si>
  <si>
    <t>gs://botsabelo-hospital-records/botsabelo_raw/TB_Chest_Radiography_Database/Tuberculosis/Tuberculosis-143.png</t>
  </si>
  <si>
    <t>gs://botsabelo-hospital-records/botsabelo_processed/xray/BHTB-2026-050/XRAY_BHTB-2026-050.dcm</t>
  </si>
  <si>
    <t>gs://botsabelo-hospital-records/botsabelo_raw/ultrasound/pos_abdominal_nodes_01.mp4</t>
  </si>
  <si>
    <t>85 frames, 328x318, 10.0 fps</t>
  </si>
  <si>
    <t>gs://botsabelo-hospital-records/botsabelo_raw/ultrasound/pos_pericardial_large_01.mp4</t>
  </si>
  <si>
    <t>24 frames, 550x656, 10.0 fps</t>
  </si>
  <si>
    <t>gs://botsabelo-hospital-records/botsabelo_raw/ultrasound/pos_pericardial_small_02.mp4</t>
  </si>
  <si>
    <t>30 frames, 428x406, 10.0 fps</t>
  </si>
  <si>
    <t>gs://botsabelo-hospital-records/botsabelo_raw/ultrasound/pos_pericardial_small_03.mp4</t>
  </si>
  <si>
    <t>51 frames, 524x332, 10.0 fps</t>
  </si>
  <si>
    <t>gs://botsabelo-hospital-records/botsabelo_raw/ultrasound/pos_pleural_effusion_01.mp4</t>
  </si>
  <si>
    <t>1 frames, 600x450, 0.5 fps</t>
  </si>
  <si>
    <t>gs://botsabelo-hospital-records/botsabelo_raw/ultrasound/pos_pleural_spine_sign_02.mp4</t>
  </si>
  <si>
    <t>180 frames, 384x288, 33.3 fps</t>
  </si>
  <si>
    <t>gs://botsabelo-hospital-records/botsabelo_raw/ultrasound/pos_spleen_microabscess_01.mp4</t>
  </si>
  <si>
    <t>50 frames, 454x262, 10.0 fps</t>
  </si>
  <si>
    <t>Clip_Spec</t>
  </si>
  <si>
    <t>CR_DICOM</t>
  </si>
  <si>
    <t>US_DICOM</t>
  </si>
  <si>
    <t>FASH_Clip</t>
  </si>
  <si>
    <t>BOT-707648-A</t>
  </si>
  <si>
    <t>BOT-778155-7</t>
  </si>
  <si>
    <t>BOT-568208-K</t>
  </si>
  <si>
    <t>BOT-906504-N</t>
  </si>
  <si>
    <t>BOT-887058-4</t>
  </si>
  <si>
    <t>BOT-881430-T</t>
  </si>
  <si>
    <t>BOT-211095-0</t>
  </si>
  <si>
    <t>BOT-440895-J</t>
  </si>
  <si>
    <t>BOT-418412-W</t>
  </si>
  <si>
    <t>BOT-187606-T</t>
  </si>
  <si>
    <t>BOT-361032-8</t>
  </si>
  <si>
    <t>BOT-702140-3</t>
  </si>
  <si>
    <t>BOT-725183-F</t>
  </si>
  <si>
    <t>BOT-119267-K</t>
  </si>
  <si>
    <t>BOT-613870-L</t>
  </si>
  <si>
    <t>BOT-892791-5</t>
  </si>
  <si>
    <t>BOT-820918-R</t>
  </si>
  <si>
    <t>BOT-586171-F</t>
  </si>
  <si>
    <t>BOT-292091-T</t>
  </si>
  <si>
    <t>BOT-747928-7</t>
  </si>
  <si>
    <t>BOT-545346-L</t>
  </si>
  <si>
    <t>BOT-537974-6</t>
  </si>
  <si>
    <t>BOT-710606-3</t>
  </si>
  <si>
    <t>BOT-433658-L</t>
  </si>
  <si>
    <t>BOT-699005-H</t>
  </si>
  <si>
    <t>BOT-867374-3</t>
  </si>
  <si>
    <t>BOT-285518-R</t>
  </si>
  <si>
    <t>BOT-997999-E</t>
  </si>
  <si>
    <t>BOT-886407-E</t>
  </si>
  <si>
    <t>BOT-922429-L</t>
  </si>
  <si>
    <t>BOT-328605-U</t>
  </si>
  <si>
    <t>BOT-739171-9</t>
  </si>
  <si>
    <t>BOT-675966-4</t>
  </si>
  <si>
    <t>BOT-215902-4</t>
  </si>
  <si>
    <t>BOT-212377-W</t>
  </si>
  <si>
    <t>BOT-557599-Y</t>
  </si>
  <si>
    <t>BOT-577435-F</t>
  </si>
  <si>
    <t>BOT-683397-6</t>
  </si>
  <si>
    <t>BOT-856130-M</t>
  </si>
  <si>
    <t>BOT-661505-0</t>
  </si>
  <si>
    <t>BOT-541659-L</t>
  </si>
  <si>
    <t>BOT-923350-N</t>
  </si>
  <si>
    <t>BOT-518466-C</t>
  </si>
  <si>
    <t>BOT-375742-M</t>
  </si>
  <si>
    <t>BOT-400892-T</t>
  </si>
  <si>
    <t>BOT-954288-3</t>
  </si>
  <si>
    <t>BOT-783409-L</t>
  </si>
  <si>
    <t>BOT-564642-M</t>
  </si>
  <si>
    <t>BOT-475809-K</t>
  </si>
  <si>
    <t>BOT-561131-4</t>
  </si>
  <si>
    <t>Old_Patient_ID</t>
  </si>
  <si>
    <t>7RHG9J</t>
  </si>
  <si>
    <t>73TLE9</t>
  </si>
  <si>
    <t>MDNP7K</t>
  </si>
  <si>
    <t>DM9DEM</t>
  </si>
  <si>
    <t>FU80VX</t>
  </si>
  <si>
    <t>GGE280</t>
  </si>
  <si>
    <t>WCELUK</t>
  </si>
  <si>
    <t>A2CNFW</t>
  </si>
  <si>
    <t>YADYE2</t>
  </si>
  <si>
    <t>3U0UDA</t>
  </si>
  <si>
    <t>AKR2RH</t>
  </si>
  <si>
    <t>NR04P5</t>
  </si>
  <si>
    <t>Y0E90V</t>
  </si>
  <si>
    <t>NRJ3YJ</t>
  </si>
  <si>
    <t>0EGXAX</t>
  </si>
  <si>
    <t>NJGV11</t>
  </si>
  <si>
    <t>0JXR5E</t>
  </si>
  <si>
    <t>H25KRA</t>
  </si>
  <si>
    <t>MHT01D</t>
  </si>
  <si>
    <t>01JCJ8</t>
  </si>
  <si>
    <t>4WV7GT</t>
  </si>
  <si>
    <t>VL9T06</t>
  </si>
  <si>
    <t>VL4F8A</t>
  </si>
  <si>
    <t>8CAX55</t>
  </si>
  <si>
    <t>U15VJW</t>
  </si>
  <si>
    <t>Y6H6AV</t>
  </si>
  <si>
    <t>MCLRX9</t>
  </si>
  <si>
    <t>82WWGL</t>
  </si>
  <si>
    <t>JWD2F4</t>
  </si>
  <si>
    <t>94AT96</t>
  </si>
  <si>
    <t>E5EAMD</t>
  </si>
  <si>
    <t>GN21TF</t>
  </si>
  <si>
    <t>XF7E78</t>
  </si>
  <si>
    <t>G02YFX</t>
  </si>
  <si>
    <t>WV0HC1</t>
  </si>
  <si>
    <t>W8849L</t>
  </si>
  <si>
    <t>AKNGME</t>
  </si>
  <si>
    <t>2PP3HE</t>
  </si>
  <si>
    <t>XDJWT0</t>
  </si>
  <si>
    <t>8LDEGJ</t>
  </si>
  <si>
    <t>0GGJU6</t>
  </si>
  <si>
    <t>HM3MNX</t>
  </si>
  <si>
    <t>P0MG83</t>
  </si>
  <si>
    <t>4ME0UG</t>
  </si>
  <si>
    <t>Y7DUVD</t>
  </si>
  <si>
    <t>XP92EU</t>
  </si>
  <si>
    <t>K005GJ</t>
  </si>
  <si>
    <t>CJE12M</t>
  </si>
  <si>
    <t>EKHF7G</t>
  </si>
  <si>
    <t>ART0KN</t>
  </si>
  <si>
    <t>Orig_Patient_ID</t>
  </si>
  <si>
    <t>Sequence</t>
  </si>
  <si>
    <t>uuid</t>
  </si>
  <si>
    <t>identifier</t>
  </si>
  <si>
    <t>given_name</t>
  </si>
  <si>
    <t>family_name</t>
  </si>
  <si>
    <t>gender</t>
  </si>
  <si>
    <t>birthdate</t>
  </si>
  <si>
    <t>birthdate_estimated</t>
  </si>
  <si>
    <t>district</t>
  </si>
  <si>
    <t>country</t>
  </si>
  <si>
    <t>68ad50b1-15fd-480e-b905-9f0c71125cf1</t>
  </si>
  <si>
    <t>Tsepang</t>
  </si>
  <si>
    <t>Molapo</t>
  </si>
  <si>
    <t>Lesotho</t>
  </si>
  <si>
    <t>0e71e4ec-b609-485c-a288-efb8e79576f6</t>
  </si>
  <si>
    <t>Mpho</t>
  </si>
  <si>
    <t>Tau</t>
  </si>
  <si>
    <t>7a484716-b711-4294-9a45-fa56f3807f02</t>
  </si>
  <si>
    <t>Thabo</t>
  </si>
  <si>
    <t>Mokoena</t>
  </si>
  <si>
    <t>861941cb-964d-4753-a377-bd30e371f1e4</t>
  </si>
  <si>
    <t>Lerato</t>
  </si>
  <si>
    <t>e631b177-5853-458d-a58c-60e731ce9a77</t>
  </si>
  <si>
    <t>Mamello</t>
  </si>
  <si>
    <t>Letseka</t>
  </si>
  <si>
    <t>6aa1521d-67a2-40d6-ae10-1cc3ec3df75c</t>
  </si>
  <si>
    <t>Tumelo</t>
  </si>
  <si>
    <t>07fc2ac1-033f-4785-94d9-149cf54596ec</t>
  </si>
  <si>
    <t>Lekhanya</t>
  </si>
  <si>
    <t>27dd5bfa-6aa9-426c-a7f4-cca6ddc40c28</t>
  </si>
  <si>
    <t>Lethabo</t>
  </si>
  <si>
    <t>d303c858-c481-452a-b057-da64f4de1986</t>
  </si>
  <si>
    <t>867744e5-821e-4f81-8d0a-a811d7f4c747</t>
  </si>
  <si>
    <t>Ramohapi</t>
  </si>
  <si>
    <t>cbb55c61-3a26-4265-848a-cc957fd40aea</t>
  </si>
  <si>
    <t>Sebatane</t>
  </si>
  <si>
    <t>7bd15724-0b41-4dd0-9f21-4b59df346cd0</t>
  </si>
  <si>
    <t>36cabc44-d9c2-4b3a-85aa-8492725a6dbd</t>
  </si>
  <si>
    <t>Khoza</t>
  </si>
  <si>
    <t>5b0d0061-47cc-4174-a6b3-60591fd936de</t>
  </si>
  <si>
    <t>96d2badd-4847-4993-bed0-5a99540b5d90</t>
  </si>
  <si>
    <t>Nthabiseng</t>
  </si>
  <si>
    <t>d8985277-17f2-4676-9574-e78ba626bee9</t>
  </si>
  <si>
    <t>44b3991a-7fde-412b-8f9d-30212b4b210e</t>
  </si>
  <si>
    <t>b9524e13-958d-4fef-9e86-f8d7e1b7eaf8</t>
  </si>
  <si>
    <t>Kabelo</t>
  </si>
  <si>
    <t>1bb61876-dcb2-4be3-b20a-bf4abd320a9d</t>
  </si>
  <si>
    <t>Rethabile</t>
  </si>
  <si>
    <t>62865883-e310-429b-bbfb-b4b9c9fc185b</t>
  </si>
  <si>
    <t>b660a32b-bfb2-4456-be2e-b1955f0cb071</t>
  </si>
  <si>
    <t>376fe561-3575-4254-ba67-fdd54eb1ae8e</t>
  </si>
  <si>
    <t>411b1ad8-dfa4-43f5-b7b0-9f02a345c04a</t>
  </si>
  <si>
    <t>fe3e83ce-3232-4c62-82af-ee77ed6141c9</t>
  </si>
  <si>
    <t>5c3bebf0-17a0-4d85-b82f-252c31526c4b</t>
  </si>
  <si>
    <t>435c2cac-40d1-4298-b46a-1c26a27b580c</t>
  </si>
  <si>
    <t>dd5e48a2-308e-4de0-aa2f-ff7a105931df</t>
  </si>
  <si>
    <t>3b5805b4-3b75-4982-81da-5e2cdce7faa6</t>
  </si>
  <si>
    <t>7e96ced7-de08-471f-88df-371853dce275</t>
  </si>
  <si>
    <t>d10ac12f-764d-45ae-8859-39c521436d8f</t>
  </si>
  <si>
    <t>44881681-8b3c-458f-9bd4-f683ef96f95a</t>
  </si>
  <si>
    <t>9ebdec71-48a7-4a96-91be-b0a5a6b7d08e</t>
  </si>
  <si>
    <t>d7f43387-2cd4-460e-85c9-54ec3d6ae7bf</t>
  </si>
  <si>
    <t>d5b939f8-aa70-49fc-a04d-48e6d9e60aff</t>
  </si>
  <si>
    <t>efb2f3ea-099c-4a5c-a986-ed0def238360</t>
  </si>
  <si>
    <t>ef772b5d-58e3-46cb-9765-310015b1449b</t>
  </si>
  <si>
    <t>7eb1c71a-c27e-4b26-9af3-210ab46243b8</t>
  </si>
  <si>
    <t>16d2aa02-c6c1-48b2-8716-aca2eda4d9a2</t>
  </si>
  <si>
    <t>c7ec6d84-a446-46a9-ba5e-6ae6f073de60</t>
  </si>
  <si>
    <t>e88f6e40-1a72-4771-8193-9aaae6de6888</t>
  </si>
  <si>
    <t>d1d08287-b2f9-4b55-bc2b-93a17550a7f2</t>
  </si>
  <si>
    <t>a67f3ac1-ceb8-4cd9-8df7-140ba5fe3123</t>
  </si>
  <si>
    <t>64488df7-257e-43ed-bdc2-421f91fa2ee0</t>
  </si>
  <si>
    <t>81d1eb36-2fcf-4bff-b5d0-6da28c21e1ee</t>
  </si>
  <si>
    <t>b4d5cf59-ab0f-46b7-a9ec-f63b78b2be23</t>
  </si>
  <si>
    <t>cca36af7-4d47-4964-a6b9-85367a1f8f21</t>
  </si>
  <si>
    <t>0bda80c3-5238-46bc-bb64-297b37b9e425</t>
  </si>
  <si>
    <t>06f897fb-c37b-4956-be56-ec99a5361384</t>
  </si>
  <si>
    <t>39759137-3d3b-4149-9f32-a1323c820c6c</t>
  </si>
  <si>
    <t>ba2aff64-0c23-4652-80ef-d9f841806670</t>
  </si>
  <si>
    <t>Birthdate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</si>
</sst>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D4DF-1DE6-3445-AD32-5D214048BBEA}">
  <dimension ref="A1:T51"/>
  <sheetViews>
    <sheetView tabSelected="1" zoomScale="130" zoomScaleNormal="130" workbookViewId="0">
      <selection activeCell="F2" sqref="F2:F51"/>
    </sheetView>
  </sheetViews>
  <sheetFormatPr baseColWidth="10" defaultRowHeight="16" x14ac:dyDescent="0.2"/>
  <cols>
    <col min="1" max="1" width="10.83203125" customWidth="1"/>
    <col min="2" max="2" width="15.6640625" customWidth="1"/>
    <col min="3" max="3" width="17.5" customWidth="1"/>
    <col min="4" max="4" width="16.33203125" customWidth="1"/>
    <col min="5" max="6" width="18.1640625" customWidth="1"/>
    <col min="7" max="7" width="7.6640625" customWidth="1"/>
    <col min="9" max="9" width="17.1640625" customWidth="1"/>
    <col min="11" max="11" width="13" customWidth="1"/>
    <col min="12" max="12" width="31.33203125" customWidth="1"/>
    <col min="13" max="13" width="27.1640625" customWidth="1"/>
    <col min="14" max="14" width="41.1640625" customWidth="1"/>
    <col min="16" max="16" width="35.6640625" customWidth="1"/>
    <col min="17" max="17" width="34.83203125" customWidth="1"/>
    <col min="18" max="18" width="88.5" customWidth="1"/>
    <col min="19" max="20" width="30" customWidth="1"/>
  </cols>
  <sheetData>
    <row r="1" spans="1:20" x14ac:dyDescent="0.2">
      <c r="A1" t="s">
        <v>391</v>
      </c>
      <c r="B1" t="s">
        <v>390</v>
      </c>
      <c r="C1" t="s">
        <v>339</v>
      </c>
      <c r="D1" t="s">
        <v>0</v>
      </c>
      <c r="E1" t="s">
        <v>1</v>
      </c>
      <c r="F1" t="s">
        <v>470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P1" t="s">
        <v>286</v>
      </c>
      <c r="Q1" t="s">
        <v>170</v>
      </c>
      <c r="R1" t="s">
        <v>287</v>
      </c>
      <c r="S1" t="s">
        <v>288</v>
      </c>
      <c r="T1" t="s">
        <v>285</v>
      </c>
    </row>
    <row r="2" spans="1:20" x14ac:dyDescent="0.2">
      <c r="A2">
        <v>1</v>
      </c>
      <c r="B2" t="s">
        <v>10</v>
      </c>
      <c r="C2" t="s">
        <v>289</v>
      </c>
      <c r="D2" t="s">
        <v>371</v>
      </c>
      <c r="E2" t="s">
        <v>11</v>
      </c>
      <c r="F2" s="2">
        <f>_xlfn.XLOOKUP(D2,Patient_ID,Patient_birthdate,"na",0)</f>
        <v>25934</v>
      </c>
      <c r="G2">
        <v>55</v>
      </c>
      <c r="H2" t="s">
        <v>12</v>
      </c>
      <c r="I2" t="s">
        <v>13</v>
      </c>
      <c r="J2" t="s">
        <v>14</v>
      </c>
      <c r="K2">
        <v>231</v>
      </c>
      <c r="L2" t="s">
        <v>15</v>
      </c>
      <c r="M2" t="s">
        <v>16</v>
      </c>
      <c r="N2" t="s">
        <v>17</v>
      </c>
      <c r="P2" t="s">
        <v>172</v>
      </c>
      <c r="Q2" t="s">
        <v>171</v>
      </c>
      <c r="R2" t="s">
        <v>120</v>
      </c>
      <c r="S2" t="s">
        <v>271</v>
      </c>
      <c r="T2" t="s">
        <v>272</v>
      </c>
    </row>
    <row r="3" spans="1:20" x14ac:dyDescent="0.2">
      <c r="A3">
        <f>A2+1</f>
        <v>2</v>
      </c>
      <c r="B3" t="s">
        <v>18</v>
      </c>
      <c r="C3" t="s">
        <v>290</v>
      </c>
      <c r="D3" t="s">
        <v>376</v>
      </c>
      <c r="E3" t="s">
        <v>19</v>
      </c>
      <c r="F3" s="2">
        <f>_xlfn.XLOOKUP(D3,Patient_ID,Patient_birthdate,"na",0)</f>
        <v>26665</v>
      </c>
      <c r="G3">
        <v>53</v>
      </c>
      <c r="H3" t="s">
        <v>20</v>
      </c>
      <c r="I3" t="s">
        <v>21</v>
      </c>
      <c r="J3" t="s">
        <v>14</v>
      </c>
      <c r="K3">
        <v>239</v>
      </c>
      <c r="L3" t="s">
        <v>15</v>
      </c>
      <c r="M3" t="s">
        <v>22</v>
      </c>
      <c r="N3" t="s">
        <v>23</v>
      </c>
      <c r="P3" t="s">
        <v>174</v>
      </c>
      <c r="Q3" t="s">
        <v>173</v>
      </c>
      <c r="R3" t="s">
        <v>121</v>
      </c>
      <c r="S3" t="s">
        <v>273</v>
      </c>
      <c r="T3" t="s">
        <v>274</v>
      </c>
    </row>
    <row r="4" spans="1:20" x14ac:dyDescent="0.2">
      <c r="A4">
        <f t="shared" ref="A4:A51" si="0">A3+1</f>
        <v>3</v>
      </c>
      <c r="B4" t="s">
        <v>24</v>
      </c>
      <c r="C4" t="s">
        <v>291</v>
      </c>
      <c r="D4" t="s">
        <v>362</v>
      </c>
      <c r="E4" t="s">
        <v>25</v>
      </c>
      <c r="F4" s="2">
        <f>_xlfn.XLOOKUP(D4,Patient_ID,Patient_birthdate,"na",0)</f>
        <v>35796</v>
      </c>
      <c r="G4">
        <v>28</v>
      </c>
      <c r="H4" t="s">
        <v>12</v>
      </c>
      <c r="I4" t="s">
        <v>26</v>
      </c>
      <c r="J4" t="s">
        <v>14</v>
      </c>
      <c r="K4">
        <v>349</v>
      </c>
      <c r="L4" t="s">
        <v>15</v>
      </c>
      <c r="M4" t="s">
        <v>16</v>
      </c>
      <c r="N4" t="s">
        <v>17</v>
      </c>
      <c r="P4" t="s">
        <v>176</v>
      </c>
      <c r="Q4" t="s">
        <v>175</v>
      </c>
      <c r="R4" t="s">
        <v>122</v>
      </c>
      <c r="S4" t="s">
        <v>275</v>
      </c>
      <c r="T4" t="s">
        <v>276</v>
      </c>
    </row>
    <row r="5" spans="1:20" x14ac:dyDescent="0.2">
      <c r="A5">
        <f t="shared" si="0"/>
        <v>4</v>
      </c>
      <c r="B5" t="s">
        <v>27</v>
      </c>
      <c r="C5" t="s">
        <v>292</v>
      </c>
      <c r="D5" t="s">
        <v>385</v>
      </c>
      <c r="E5" t="s">
        <v>28</v>
      </c>
      <c r="F5" s="2">
        <f>_xlfn.XLOOKUP(D5,Patient_ID,Patient_birthdate,"na",0)</f>
        <v>31413</v>
      </c>
      <c r="G5">
        <v>40</v>
      </c>
      <c r="H5" t="s">
        <v>20</v>
      </c>
      <c r="I5" t="s">
        <v>29</v>
      </c>
      <c r="J5" t="s">
        <v>14</v>
      </c>
      <c r="K5">
        <v>341</v>
      </c>
      <c r="L5" t="s">
        <v>15</v>
      </c>
      <c r="M5" t="s">
        <v>22</v>
      </c>
      <c r="N5" t="s">
        <v>17</v>
      </c>
      <c r="P5" t="s">
        <v>178</v>
      </c>
      <c r="Q5" t="s">
        <v>177</v>
      </c>
      <c r="R5" t="s">
        <v>123</v>
      </c>
      <c r="S5" t="s">
        <v>277</v>
      </c>
      <c r="T5" t="s">
        <v>278</v>
      </c>
    </row>
    <row r="6" spans="1:20" x14ac:dyDescent="0.2">
      <c r="A6">
        <f t="shared" si="0"/>
        <v>5</v>
      </c>
      <c r="B6" t="s">
        <v>30</v>
      </c>
      <c r="C6" t="s">
        <v>293</v>
      </c>
      <c r="D6" t="s">
        <v>383</v>
      </c>
      <c r="E6" t="s">
        <v>31</v>
      </c>
      <c r="F6" s="2">
        <f>_xlfn.XLOOKUP(D6,Patient_ID,Patient_birthdate,"na",0)</f>
        <v>33239</v>
      </c>
      <c r="G6">
        <v>35</v>
      </c>
      <c r="H6" t="s">
        <v>20</v>
      </c>
      <c r="I6" t="s">
        <v>29</v>
      </c>
      <c r="J6" t="s">
        <v>32</v>
      </c>
      <c r="K6" t="s">
        <v>33</v>
      </c>
      <c r="L6" t="s">
        <v>15</v>
      </c>
      <c r="M6" t="s">
        <v>34</v>
      </c>
      <c r="N6" t="s">
        <v>23</v>
      </c>
      <c r="P6" t="s">
        <v>180</v>
      </c>
      <c r="Q6" t="s">
        <v>179</v>
      </c>
      <c r="R6" t="s">
        <v>124</v>
      </c>
      <c r="S6" t="s">
        <v>279</v>
      </c>
      <c r="T6" t="s">
        <v>280</v>
      </c>
    </row>
    <row r="7" spans="1:20" x14ac:dyDescent="0.2">
      <c r="A7">
        <f t="shared" si="0"/>
        <v>6</v>
      </c>
      <c r="B7" t="s">
        <v>35</v>
      </c>
      <c r="C7" t="s">
        <v>294</v>
      </c>
      <c r="D7" t="s">
        <v>381</v>
      </c>
      <c r="E7" t="s">
        <v>36</v>
      </c>
      <c r="F7" s="2">
        <f>_xlfn.XLOOKUP(D7,Patient_ID,Patient_birthdate,"na",0)</f>
        <v>30317</v>
      </c>
      <c r="G7">
        <v>43</v>
      </c>
      <c r="H7" t="s">
        <v>20</v>
      </c>
      <c r="I7" t="s">
        <v>29</v>
      </c>
      <c r="J7" t="s">
        <v>32</v>
      </c>
      <c r="K7" t="s">
        <v>33</v>
      </c>
      <c r="L7" t="s">
        <v>15</v>
      </c>
      <c r="M7" t="s">
        <v>34</v>
      </c>
      <c r="N7" t="s">
        <v>23</v>
      </c>
      <c r="P7" t="s">
        <v>182</v>
      </c>
      <c r="Q7" t="s">
        <v>181</v>
      </c>
      <c r="R7" t="s">
        <v>125</v>
      </c>
      <c r="S7" t="s">
        <v>281</v>
      </c>
      <c r="T7" t="s">
        <v>282</v>
      </c>
    </row>
    <row r="8" spans="1:20" x14ac:dyDescent="0.2">
      <c r="A8">
        <f t="shared" si="0"/>
        <v>7</v>
      </c>
      <c r="B8" t="s">
        <v>37</v>
      </c>
      <c r="C8" t="s">
        <v>295</v>
      </c>
      <c r="D8" t="s">
        <v>342</v>
      </c>
      <c r="E8" t="s">
        <v>38</v>
      </c>
      <c r="F8" s="2">
        <f>_xlfn.XLOOKUP(D8,Patient_ID,Patient_birthdate,"na",0)</f>
        <v>30317</v>
      </c>
      <c r="G8">
        <v>43</v>
      </c>
      <c r="H8" t="s">
        <v>12</v>
      </c>
      <c r="I8" t="s">
        <v>29</v>
      </c>
      <c r="J8" t="s">
        <v>32</v>
      </c>
      <c r="K8" t="s">
        <v>33</v>
      </c>
      <c r="L8" t="s">
        <v>15</v>
      </c>
      <c r="M8" t="s">
        <v>34</v>
      </c>
      <c r="N8" t="s">
        <v>23</v>
      </c>
      <c r="P8" t="s">
        <v>184</v>
      </c>
      <c r="Q8" t="s">
        <v>183</v>
      </c>
      <c r="R8" t="s">
        <v>126</v>
      </c>
      <c r="S8" t="s">
        <v>283</v>
      </c>
      <c r="T8" t="s">
        <v>284</v>
      </c>
    </row>
    <row r="9" spans="1:20" x14ac:dyDescent="0.2">
      <c r="A9">
        <f t="shared" si="0"/>
        <v>8</v>
      </c>
      <c r="B9" t="s">
        <v>39</v>
      </c>
      <c r="C9" t="s">
        <v>296</v>
      </c>
      <c r="D9" t="s">
        <v>353</v>
      </c>
      <c r="E9" t="s">
        <v>40</v>
      </c>
      <c r="F9" s="2">
        <f>_xlfn.XLOOKUP(D9,Patient_ID,Patient_birthdate,"na",0)</f>
        <v>29952</v>
      </c>
      <c r="G9">
        <v>44</v>
      </c>
      <c r="H9" t="s">
        <v>20</v>
      </c>
      <c r="I9" t="s">
        <v>21</v>
      </c>
      <c r="J9" t="s">
        <v>14</v>
      </c>
      <c r="K9">
        <v>108</v>
      </c>
      <c r="L9" t="s">
        <v>15</v>
      </c>
      <c r="M9" t="s">
        <v>16</v>
      </c>
      <c r="N9" t="s">
        <v>17</v>
      </c>
      <c r="P9" t="s">
        <v>186</v>
      </c>
      <c r="Q9" t="s">
        <v>185</v>
      </c>
      <c r="R9" t="s">
        <v>127</v>
      </c>
      <c r="S9" t="s">
        <v>271</v>
      </c>
      <c r="T9" t="s">
        <v>272</v>
      </c>
    </row>
    <row r="10" spans="1:20" x14ac:dyDescent="0.2">
      <c r="A10">
        <f t="shared" si="0"/>
        <v>9</v>
      </c>
      <c r="B10" t="s">
        <v>41</v>
      </c>
      <c r="C10" t="s">
        <v>297</v>
      </c>
      <c r="D10" t="s">
        <v>351</v>
      </c>
      <c r="E10" t="s">
        <v>42</v>
      </c>
      <c r="F10" s="2">
        <f>_xlfn.XLOOKUP(D10,Patient_ID,Patient_birthdate,"na",0)</f>
        <v>36526</v>
      </c>
      <c r="G10">
        <v>26</v>
      </c>
      <c r="H10" t="s">
        <v>20</v>
      </c>
      <c r="I10" t="s">
        <v>21</v>
      </c>
      <c r="J10" t="s">
        <v>14</v>
      </c>
      <c r="K10">
        <v>190</v>
      </c>
      <c r="L10" t="s">
        <v>15</v>
      </c>
      <c r="M10" t="s">
        <v>22</v>
      </c>
      <c r="N10" t="s">
        <v>43</v>
      </c>
      <c r="P10" t="s">
        <v>188</v>
      </c>
      <c r="Q10" t="s">
        <v>187</v>
      </c>
      <c r="R10" t="s">
        <v>128</v>
      </c>
      <c r="S10" t="s">
        <v>273</v>
      </c>
      <c r="T10" t="s">
        <v>274</v>
      </c>
    </row>
    <row r="11" spans="1:20" x14ac:dyDescent="0.2">
      <c r="A11">
        <f t="shared" si="0"/>
        <v>10</v>
      </c>
      <c r="B11" t="s">
        <v>44</v>
      </c>
      <c r="C11" t="s">
        <v>298</v>
      </c>
      <c r="D11" t="s">
        <v>341</v>
      </c>
      <c r="E11" t="s">
        <v>45</v>
      </c>
      <c r="F11" s="2">
        <f>_xlfn.XLOOKUP(D11,Patient_ID,Patient_birthdate,"na",0)</f>
        <v>24473</v>
      </c>
      <c r="G11">
        <v>59</v>
      </c>
      <c r="H11" t="s">
        <v>12</v>
      </c>
      <c r="I11" t="s">
        <v>26</v>
      </c>
      <c r="J11" t="s">
        <v>14</v>
      </c>
      <c r="K11">
        <v>327</v>
      </c>
      <c r="L11" t="s">
        <v>15</v>
      </c>
      <c r="M11" t="s">
        <v>22</v>
      </c>
      <c r="N11" t="s">
        <v>43</v>
      </c>
      <c r="P11" t="s">
        <v>190</v>
      </c>
      <c r="Q11" t="s">
        <v>189</v>
      </c>
      <c r="R11" t="s">
        <v>129</v>
      </c>
      <c r="S11" t="s">
        <v>275</v>
      </c>
      <c r="T11" t="s">
        <v>276</v>
      </c>
    </row>
    <row r="12" spans="1:20" x14ac:dyDescent="0.2">
      <c r="A12">
        <f t="shared" si="0"/>
        <v>11</v>
      </c>
      <c r="B12" t="s">
        <v>46</v>
      </c>
      <c r="C12" t="s">
        <v>299</v>
      </c>
      <c r="D12" t="s">
        <v>348</v>
      </c>
      <c r="E12" t="s">
        <v>47</v>
      </c>
      <c r="F12" s="2">
        <f>_xlfn.XLOOKUP(D12,Patient_ID,Patient_birthdate,"na",0)</f>
        <v>37257</v>
      </c>
      <c r="G12">
        <v>24</v>
      </c>
      <c r="H12" t="s">
        <v>12</v>
      </c>
      <c r="I12" t="s">
        <v>48</v>
      </c>
      <c r="J12" t="s">
        <v>14</v>
      </c>
      <c r="K12">
        <v>61</v>
      </c>
      <c r="L12" t="s">
        <v>15</v>
      </c>
      <c r="M12" t="s">
        <v>16</v>
      </c>
      <c r="N12" t="s">
        <v>49</v>
      </c>
      <c r="P12" t="s">
        <v>192</v>
      </c>
      <c r="Q12" t="s">
        <v>191</v>
      </c>
      <c r="R12" t="s">
        <v>130</v>
      </c>
      <c r="S12" t="s">
        <v>277</v>
      </c>
      <c r="T12" t="s">
        <v>278</v>
      </c>
    </row>
    <row r="13" spans="1:20" x14ac:dyDescent="0.2">
      <c r="A13">
        <f t="shared" si="0"/>
        <v>12</v>
      </c>
      <c r="B13" t="s">
        <v>50</v>
      </c>
      <c r="C13" t="s">
        <v>300</v>
      </c>
      <c r="D13" t="s">
        <v>370</v>
      </c>
      <c r="E13" t="s">
        <v>51</v>
      </c>
      <c r="F13" s="2">
        <f>_xlfn.XLOOKUP(D13,Patient_ID,Patient_birthdate,"na",0)</f>
        <v>24838</v>
      </c>
      <c r="G13">
        <v>58</v>
      </c>
      <c r="H13" t="s">
        <v>12</v>
      </c>
      <c r="I13" t="s">
        <v>52</v>
      </c>
      <c r="J13" t="s">
        <v>14</v>
      </c>
      <c r="K13">
        <v>144</v>
      </c>
      <c r="L13" t="s">
        <v>15</v>
      </c>
      <c r="M13" t="s">
        <v>16</v>
      </c>
      <c r="N13" t="s">
        <v>43</v>
      </c>
      <c r="P13" t="s">
        <v>194</v>
      </c>
      <c r="Q13" t="s">
        <v>193</v>
      </c>
      <c r="R13" t="s">
        <v>131</v>
      </c>
      <c r="S13" t="s">
        <v>279</v>
      </c>
      <c r="T13" t="s">
        <v>280</v>
      </c>
    </row>
    <row r="14" spans="1:20" x14ac:dyDescent="0.2">
      <c r="A14">
        <f t="shared" si="0"/>
        <v>13</v>
      </c>
      <c r="B14" t="s">
        <v>53</v>
      </c>
      <c r="C14" t="s">
        <v>301</v>
      </c>
      <c r="D14" t="s">
        <v>373</v>
      </c>
      <c r="E14" t="s">
        <v>36</v>
      </c>
      <c r="F14" s="2">
        <f>_xlfn.XLOOKUP(D14,Patient_ID,Patient_birthdate,"na",0)</f>
        <v>25569</v>
      </c>
      <c r="G14">
        <v>56</v>
      </c>
      <c r="H14" t="s">
        <v>12</v>
      </c>
      <c r="I14" t="s">
        <v>13</v>
      </c>
      <c r="J14" t="s">
        <v>32</v>
      </c>
      <c r="K14" t="s">
        <v>33</v>
      </c>
      <c r="L14" t="s">
        <v>15</v>
      </c>
      <c r="M14" t="s">
        <v>34</v>
      </c>
      <c r="N14" t="s">
        <v>23</v>
      </c>
      <c r="P14" t="s">
        <v>196</v>
      </c>
      <c r="Q14" t="s">
        <v>195</v>
      </c>
      <c r="R14" t="s">
        <v>132</v>
      </c>
      <c r="S14" t="s">
        <v>281</v>
      </c>
      <c r="T14" t="s">
        <v>282</v>
      </c>
    </row>
    <row r="15" spans="1:20" x14ac:dyDescent="0.2">
      <c r="A15">
        <f t="shared" si="0"/>
        <v>14</v>
      </c>
      <c r="B15" t="s">
        <v>54</v>
      </c>
      <c r="C15" t="s">
        <v>302</v>
      </c>
      <c r="D15" t="s">
        <v>340</v>
      </c>
      <c r="E15" t="s">
        <v>55</v>
      </c>
      <c r="F15" s="2">
        <f>_xlfn.XLOOKUP(D15,Patient_ID,Patient_birthdate,"na",0)</f>
        <v>24108</v>
      </c>
      <c r="G15">
        <v>60</v>
      </c>
      <c r="H15" t="s">
        <v>12</v>
      </c>
      <c r="I15" t="s">
        <v>52</v>
      </c>
      <c r="J15" t="s">
        <v>32</v>
      </c>
      <c r="K15" t="s">
        <v>33</v>
      </c>
      <c r="L15" t="s">
        <v>15</v>
      </c>
      <c r="M15" t="s">
        <v>34</v>
      </c>
      <c r="N15" t="s">
        <v>23</v>
      </c>
      <c r="P15" t="s">
        <v>198</v>
      </c>
      <c r="Q15" t="s">
        <v>197</v>
      </c>
      <c r="R15" t="s">
        <v>133</v>
      </c>
      <c r="S15" t="s">
        <v>283</v>
      </c>
      <c r="T15" t="s">
        <v>284</v>
      </c>
    </row>
    <row r="16" spans="1:20" x14ac:dyDescent="0.2">
      <c r="A16">
        <f t="shared" si="0"/>
        <v>15</v>
      </c>
      <c r="B16" t="s">
        <v>56</v>
      </c>
      <c r="C16" t="s">
        <v>303</v>
      </c>
      <c r="D16" t="s">
        <v>365</v>
      </c>
      <c r="E16" t="s">
        <v>57</v>
      </c>
      <c r="F16" s="2">
        <f>_xlfn.XLOOKUP(D16,Patient_ID,Patient_birthdate,"na",0)</f>
        <v>33604</v>
      </c>
      <c r="G16">
        <v>34</v>
      </c>
      <c r="H16" t="s">
        <v>20</v>
      </c>
      <c r="I16" t="s">
        <v>21</v>
      </c>
      <c r="J16" t="s">
        <v>14</v>
      </c>
      <c r="K16">
        <v>313</v>
      </c>
      <c r="L16" t="s">
        <v>15</v>
      </c>
      <c r="M16" t="s">
        <v>22</v>
      </c>
      <c r="N16" t="s">
        <v>49</v>
      </c>
      <c r="P16" t="s">
        <v>200</v>
      </c>
      <c r="Q16" t="s">
        <v>199</v>
      </c>
      <c r="R16" t="s">
        <v>134</v>
      </c>
      <c r="S16" t="s">
        <v>271</v>
      </c>
      <c r="T16" t="s">
        <v>272</v>
      </c>
    </row>
    <row r="17" spans="1:20" x14ac:dyDescent="0.2">
      <c r="A17">
        <f t="shared" si="0"/>
        <v>16</v>
      </c>
      <c r="B17" t="s">
        <v>58</v>
      </c>
      <c r="C17" t="s">
        <v>304</v>
      </c>
      <c r="D17" t="s">
        <v>384</v>
      </c>
      <c r="E17" t="s">
        <v>59</v>
      </c>
      <c r="F17" s="2">
        <f>_xlfn.XLOOKUP(D17,Patient_ID,Patient_birthdate,"na",0)</f>
        <v>37257</v>
      </c>
      <c r="G17">
        <v>24</v>
      </c>
      <c r="H17" t="s">
        <v>20</v>
      </c>
      <c r="I17" t="s">
        <v>52</v>
      </c>
      <c r="J17" t="s">
        <v>14</v>
      </c>
      <c r="K17">
        <v>260</v>
      </c>
      <c r="L17" t="s">
        <v>15</v>
      </c>
      <c r="M17" t="s">
        <v>16</v>
      </c>
      <c r="N17" t="s">
        <v>23</v>
      </c>
      <c r="P17" t="s">
        <v>202</v>
      </c>
      <c r="Q17" t="s">
        <v>201</v>
      </c>
      <c r="R17" t="s">
        <v>135</v>
      </c>
      <c r="S17" t="s">
        <v>273</v>
      </c>
      <c r="T17" t="s">
        <v>274</v>
      </c>
    </row>
    <row r="18" spans="1:20" x14ac:dyDescent="0.2">
      <c r="A18">
        <f t="shared" si="0"/>
        <v>17</v>
      </c>
      <c r="B18" t="s">
        <v>60</v>
      </c>
      <c r="C18" t="s">
        <v>305</v>
      </c>
      <c r="D18" t="s">
        <v>378</v>
      </c>
      <c r="E18" t="s">
        <v>42</v>
      </c>
      <c r="F18" s="2">
        <f>_xlfn.XLOOKUP(D18,Patient_ID,Patient_birthdate,"na",0)</f>
        <v>33604</v>
      </c>
      <c r="G18">
        <v>34</v>
      </c>
      <c r="H18" t="s">
        <v>20</v>
      </c>
      <c r="I18" t="s">
        <v>52</v>
      </c>
      <c r="J18" t="s">
        <v>14</v>
      </c>
      <c r="K18">
        <v>226</v>
      </c>
      <c r="L18" t="s">
        <v>15</v>
      </c>
      <c r="M18" t="s">
        <v>22</v>
      </c>
      <c r="N18" t="s">
        <v>43</v>
      </c>
      <c r="P18" t="s">
        <v>204</v>
      </c>
      <c r="Q18" t="s">
        <v>203</v>
      </c>
      <c r="R18" t="s">
        <v>136</v>
      </c>
      <c r="S18" t="s">
        <v>275</v>
      </c>
      <c r="T18" t="s">
        <v>276</v>
      </c>
    </row>
    <row r="19" spans="1:20" x14ac:dyDescent="0.2">
      <c r="A19">
        <f t="shared" si="0"/>
        <v>18</v>
      </c>
      <c r="B19" t="s">
        <v>61</v>
      </c>
      <c r="C19" t="s">
        <v>306</v>
      </c>
      <c r="D19" t="s">
        <v>364</v>
      </c>
      <c r="E19" t="s">
        <v>62</v>
      </c>
      <c r="F19" s="2">
        <f>_xlfn.XLOOKUP(D19,Patient_ID,Patient_birthdate,"na",0)</f>
        <v>30682</v>
      </c>
      <c r="G19">
        <v>42</v>
      </c>
      <c r="H19" t="s">
        <v>12</v>
      </c>
      <c r="I19" t="s">
        <v>48</v>
      </c>
      <c r="J19" t="s">
        <v>14</v>
      </c>
      <c r="K19">
        <v>57</v>
      </c>
      <c r="L19" t="s">
        <v>15</v>
      </c>
      <c r="M19" t="s">
        <v>16</v>
      </c>
      <c r="N19" t="s">
        <v>17</v>
      </c>
      <c r="P19" t="s">
        <v>206</v>
      </c>
      <c r="Q19" t="s">
        <v>205</v>
      </c>
      <c r="R19" t="s">
        <v>137</v>
      </c>
      <c r="S19" t="s">
        <v>277</v>
      </c>
      <c r="T19" t="s">
        <v>278</v>
      </c>
    </row>
    <row r="20" spans="1:20" x14ac:dyDescent="0.2">
      <c r="A20">
        <f t="shared" si="0"/>
        <v>19</v>
      </c>
      <c r="B20" t="s">
        <v>63</v>
      </c>
      <c r="C20" t="s">
        <v>307</v>
      </c>
      <c r="D20" t="s">
        <v>346</v>
      </c>
      <c r="E20" t="s">
        <v>64</v>
      </c>
      <c r="F20" s="2">
        <f>_xlfn.XLOOKUP(D20,Patient_ID,Patient_birthdate,"na",0)</f>
        <v>34335</v>
      </c>
      <c r="G20">
        <v>32</v>
      </c>
      <c r="H20" t="s">
        <v>20</v>
      </c>
      <c r="I20" t="s">
        <v>13</v>
      </c>
      <c r="J20" t="s">
        <v>14</v>
      </c>
      <c r="K20">
        <v>348</v>
      </c>
      <c r="L20" t="s">
        <v>15</v>
      </c>
      <c r="M20" t="s">
        <v>16</v>
      </c>
      <c r="N20" t="s">
        <v>49</v>
      </c>
      <c r="P20" t="s">
        <v>208</v>
      </c>
      <c r="Q20" t="s">
        <v>207</v>
      </c>
      <c r="R20" t="s">
        <v>138</v>
      </c>
      <c r="S20" t="s">
        <v>279</v>
      </c>
      <c r="T20" t="s">
        <v>280</v>
      </c>
    </row>
    <row r="21" spans="1:20" x14ac:dyDescent="0.2">
      <c r="A21">
        <f t="shared" si="0"/>
        <v>20</v>
      </c>
      <c r="B21" t="s">
        <v>65</v>
      </c>
      <c r="C21" t="s">
        <v>308</v>
      </c>
      <c r="D21" t="s">
        <v>375</v>
      </c>
      <c r="E21" t="s">
        <v>66</v>
      </c>
      <c r="F21" s="2">
        <f>_xlfn.XLOOKUP(D21,Patient_ID,Patient_birthdate,"na",0)</f>
        <v>33970</v>
      </c>
      <c r="G21">
        <v>33</v>
      </c>
      <c r="H21" t="s">
        <v>12</v>
      </c>
      <c r="I21" t="s">
        <v>13</v>
      </c>
      <c r="J21" t="s">
        <v>32</v>
      </c>
      <c r="K21" t="s">
        <v>33</v>
      </c>
      <c r="L21" t="s">
        <v>15</v>
      </c>
      <c r="M21" t="s">
        <v>34</v>
      </c>
      <c r="N21" t="s">
        <v>23</v>
      </c>
      <c r="P21" t="s">
        <v>210</v>
      </c>
      <c r="Q21" t="s">
        <v>209</v>
      </c>
      <c r="R21" t="s">
        <v>139</v>
      </c>
      <c r="S21" t="s">
        <v>281</v>
      </c>
      <c r="T21" t="s">
        <v>282</v>
      </c>
    </row>
    <row r="22" spans="1:20" x14ac:dyDescent="0.2">
      <c r="A22">
        <f t="shared" si="0"/>
        <v>21</v>
      </c>
      <c r="B22" t="s">
        <v>67</v>
      </c>
      <c r="C22" t="s">
        <v>309</v>
      </c>
      <c r="D22" t="s">
        <v>358</v>
      </c>
      <c r="E22" t="s">
        <v>25</v>
      </c>
      <c r="F22" s="2">
        <f>_xlfn.XLOOKUP(D22,Patient_ID,Patient_birthdate,"na",0)</f>
        <v>30682</v>
      </c>
      <c r="G22">
        <v>42</v>
      </c>
      <c r="H22" t="s">
        <v>20</v>
      </c>
      <c r="I22" t="s">
        <v>52</v>
      </c>
      <c r="J22" t="s">
        <v>14</v>
      </c>
      <c r="K22">
        <v>120</v>
      </c>
      <c r="L22" t="s">
        <v>15</v>
      </c>
      <c r="M22" t="s">
        <v>22</v>
      </c>
      <c r="N22" t="s">
        <v>23</v>
      </c>
      <c r="P22" t="s">
        <v>212</v>
      </c>
      <c r="Q22" t="s">
        <v>211</v>
      </c>
      <c r="R22" t="s">
        <v>140</v>
      </c>
      <c r="S22" t="s">
        <v>283</v>
      </c>
      <c r="T22" t="s">
        <v>284</v>
      </c>
    </row>
    <row r="23" spans="1:20" x14ac:dyDescent="0.2">
      <c r="A23">
        <f t="shared" si="0"/>
        <v>22</v>
      </c>
      <c r="B23" t="s">
        <v>68</v>
      </c>
      <c r="C23" t="s">
        <v>310</v>
      </c>
      <c r="D23" t="s">
        <v>356</v>
      </c>
      <c r="E23" t="s">
        <v>69</v>
      </c>
      <c r="F23" s="2">
        <f>_xlfn.XLOOKUP(D23,Patient_ID,Patient_birthdate,"na",0)</f>
        <v>36892</v>
      </c>
      <c r="G23">
        <v>25</v>
      </c>
      <c r="H23" t="s">
        <v>12</v>
      </c>
      <c r="I23" t="s">
        <v>29</v>
      </c>
      <c r="J23" t="s">
        <v>14</v>
      </c>
      <c r="K23">
        <v>269</v>
      </c>
      <c r="L23" t="s">
        <v>15</v>
      </c>
      <c r="M23" t="s">
        <v>22</v>
      </c>
      <c r="N23" t="s">
        <v>17</v>
      </c>
      <c r="P23" t="s">
        <v>214</v>
      </c>
      <c r="Q23" t="s">
        <v>213</v>
      </c>
      <c r="R23" t="s">
        <v>141</v>
      </c>
      <c r="S23" t="s">
        <v>271</v>
      </c>
      <c r="T23" t="s">
        <v>272</v>
      </c>
    </row>
    <row r="24" spans="1:20" x14ac:dyDescent="0.2">
      <c r="A24">
        <f t="shared" si="0"/>
        <v>23</v>
      </c>
      <c r="B24" t="s">
        <v>70</v>
      </c>
      <c r="C24" t="s">
        <v>311</v>
      </c>
      <c r="D24" t="s">
        <v>372</v>
      </c>
      <c r="E24" t="s">
        <v>71</v>
      </c>
      <c r="F24" s="2">
        <f>_xlfn.XLOOKUP(D24,Patient_ID,Patient_birthdate,"na",0)</f>
        <v>34335</v>
      </c>
      <c r="G24">
        <v>32</v>
      </c>
      <c r="H24" t="s">
        <v>12</v>
      </c>
      <c r="I24" t="s">
        <v>21</v>
      </c>
      <c r="J24" t="s">
        <v>14</v>
      </c>
      <c r="K24">
        <v>145</v>
      </c>
      <c r="L24" t="s">
        <v>15</v>
      </c>
      <c r="M24" t="s">
        <v>22</v>
      </c>
      <c r="N24" t="s">
        <v>72</v>
      </c>
      <c r="P24" t="s">
        <v>216</v>
      </c>
      <c r="Q24" t="s">
        <v>215</v>
      </c>
      <c r="R24" t="s">
        <v>142</v>
      </c>
      <c r="S24" t="s">
        <v>273</v>
      </c>
      <c r="T24" t="s">
        <v>274</v>
      </c>
    </row>
    <row r="25" spans="1:20" x14ac:dyDescent="0.2">
      <c r="A25">
        <f t="shared" si="0"/>
        <v>24</v>
      </c>
      <c r="B25" t="s">
        <v>73</v>
      </c>
      <c r="C25" t="s">
        <v>312</v>
      </c>
      <c r="D25" t="s">
        <v>352</v>
      </c>
      <c r="E25" t="s">
        <v>74</v>
      </c>
      <c r="F25" s="2">
        <f>_xlfn.XLOOKUP(D25,Patient_ID,Patient_birthdate,"na",0)</f>
        <v>37622</v>
      </c>
      <c r="G25">
        <v>23</v>
      </c>
      <c r="H25" t="s">
        <v>12</v>
      </c>
      <c r="I25" t="s">
        <v>48</v>
      </c>
      <c r="J25" t="s">
        <v>14</v>
      </c>
      <c r="K25">
        <v>79</v>
      </c>
      <c r="L25" t="s">
        <v>15</v>
      </c>
      <c r="M25" t="s">
        <v>16</v>
      </c>
      <c r="N25" t="s">
        <v>43</v>
      </c>
      <c r="P25" t="s">
        <v>218</v>
      </c>
      <c r="Q25" t="s">
        <v>217</v>
      </c>
      <c r="R25" t="s">
        <v>143</v>
      </c>
      <c r="S25" t="s">
        <v>275</v>
      </c>
      <c r="T25" t="s">
        <v>276</v>
      </c>
    </row>
    <row r="26" spans="1:20" x14ac:dyDescent="0.2">
      <c r="A26">
        <f t="shared" si="0"/>
        <v>25</v>
      </c>
      <c r="B26" t="s">
        <v>75</v>
      </c>
      <c r="C26" t="s">
        <v>313</v>
      </c>
      <c r="D26" t="s">
        <v>369</v>
      </c>
      <c r="E26" t="s">
        <v>76</v>
      </c>
      <c r="F26" s="2">
        <f>_xlfn.XLOOKUP(D26,Patient_ID,Patient_birthdate,"na",0)</f>
        <v>32874</v>
      </c>
      <c r="G26">
        <v>36</v>
      </c>
      <c r="H26" t="s">
        <v>12</v>
      </c>
      <c r="I26" t="s">
        <v>52</v>
      </c>
      <c r="J26" t="s">
        <v>14</v>
      </c>
      <c r="K26">
        <v>107</v>
      </c>
      <c r="L26" t="s">
        <v>15</v>
      </c>
      <c r="M26" t="s">
        <v>16</v>
      </c>
      <c r="N26" t="s">
        <v>17</v>
      </c>
      <c r="P26" t="s">
        <v>220</v>
      </c>
      <c r="Q26" t="s">
        <v>219</v>
      </c>
      <c r="R26" t="s">
        <v>144</v>
      </c>
      <c r="S26" t="s">
        <v>277</v>
      </c>
      <c r="T26" t="s">
        <v>278</v>
      </c>
    </row>
    <row r="27" spans="1:20" x14ac:dyDescent="0.2">
      <c r="A27">
        <f t="shared" si="0"/>
        <v>26</v>
      </c>
      <c r="B27" t="s">
        <v>77</v>
      </c>
      <c r="C27" t="s">
        <v>314</v>
      </c>
      <c r="D27" t="s">
        <v>380</v>
      </c>
      <c r="E27" t="s">
        <v>78</v>
      </c>
      <c r="F27" s="2">
        <f>_xlfn.XLOOKUP(D27,Patient_ID,Patient_birthdate,"na",0)</f>
        <v>26665</v>
      </c>
      <c r="G27">
        <v>53</v>
      </c>
      <c r="H27" t="s">
        <v>20</v>
      </c>
      <c r="I27" t="s">
        <v>21</v>
      </c>
      <c r="J27" t="s">
        <v>14</v>
      </c>
      <c r="K27">
        <v>312</v>
      </c>
      <c r="L27" t="s">
        <v>15</v>
      </c>
      <c r="M27" t="s">
        <v>16</v>
      </c>
      <c r="N27" t="s">
        <v>23</v>
      </c>
      <c r="P27" t="s">
        <v>222</v>
      </c>
      <c r="Q27" t="s">
        <v>221</v>
      </c>
      <c r="R27" t="s">
        <v>145</v>
      </c>
      <c r="S27" t="s">
        <v>279</v>
      </c>
      <c r="T27" t="s">
        <v>280</v>
      </c>
    </row>
    <row r="28" spans="1:20" x14ac:dyDescent="0.2">
      <c r="A28">
        <f t="shared" si="0"/>
        <v>27</v>
      </c>
      <c r="B28" t="s">
        <v>79</v>
      </c>
      <c r="C28" t="s">
        <v>315</v>
      </c>
      <c r="D28" t="s">
        <v>345</v>
      </c>
      <c r="E28" t="s">
        <v>71</v>
      </c>
      <c r="F28" s="2">
        <f>_xlfn.XLOOKUP(D28,Patient_ID,Patient_birthdate,"na",0)</f>
        <v>25934</v>
      </c>
      <c r="G28">
        <v>55</v>
      </c>
      <c r="H28" t="s">
        <v>12</v>
      </c>
      <c r="I28" t="s">
        <v>52</v>
      </c>
      <c r="J28" t="s">
        <v>14</v>
      </c>
      <c r="K28">
        <v>148</v>
      </c>
      <c r="L28" t="s">
        <v>15</v>
      </c>
      <c r="M28" t="s">
        <v>22</v>
      </c>
      <c r="N28" t="s">
        <v>49</v>
      </c>
      <c r="P28" t="s">
        <v>224</v>
      </c>
      <c r="Q28" t="s">
        <v>223</v>
      </c>
      <c r="R28" t="s">
        <v>146</v>
      </c>
      <c r="S28" t="s">
        <v>281</v>
      </c>
      <c r="T28" t="s">
        <v>282</v>
      </c>
    </row>
    <row r="29" spans="1:20" x14ac:dyDescent="0.2">
      <c r="A29">
        <f t="shared" si="0"/>
        <v>28</v>
      </c>
      <c r="B29" t="s">
        <v>80</v>
      </c>
      <c r="C29" t="s">
        <v>316</v>
      </c>
      <c r="D29" t="s">
        <v>389</v>
      </c>
      <c r="E29" t="s">
        <v>28</v>
      </c>
      <c r="F29" s="2">
        <f>_xlfn.XLOOKUP(D29,Patient_ID,Patient_birthdate,"na",0)</f>
        <v>34700</v>
      </c>
      <c r="G29">
        <v>31</v>
      </c>
      <c r="H29" t="s">
        <v>20</v>
      </c>
      <c r="I29" t="s">
        <v>26</v>
      </c>
      <c r="J29" t="s">
        <v>14</v>
      </c>
      <c r="K29">
        <v>293</v>
      </c>
      <c r="L29" t="s">
        <v>15</v>
      </c>
      <c r="M29" t="s">
        <v>16</v>
      </c>
      <c r="N29" t="s">
        <v>43</v>
      </c>
      <c r="P29" t="s">
        <v>226</v>
      </c>
      <c r="Q29" t="s">
        <v>225</v>
      </c>
      <c r="R29" t="s">
        <v>147</v>
      </c>
      <c r="S29" t="s">
        <v>283</v>
      </c>
      <c r="T29" t="s">
        <v>284</v>
      </c>
    </row>
    <row r="30" spans="1:20" x14ac:dyDescent="0.2">
      <c r="A30">
        <f t="shared" si="0"/>
        <v>29</v>
      </c>
      <c r="B30" t="s">
        <v>81</v>
      </c>
      <c r="C30" t="s">
        <v>317</v>
      </c>
      <c r="D30" t="s">
        <v>382</v>
      </c>
      <c r="E30" t="s">
        <v>82</v>
      </c>
      <c r="F30" s="2">
        <f>_xlfn.XLOOKUP(D30,Patient_ID,Patient_birthdate,"na",0)</f>
        <v>31048</v>
      </c>
      <c r="G30">
        <v>41</v>
      </c>
      <c r="H30" t="s">
        <v>20</v>
      </c>
      <c r="I30" t="s">
        <v>52</v>
      </c>
      <c r="J30" t="s">
        <v>14</v>
      </c>
      <c r="K30">
        <v>75</v>
      </c>
      <c r="L30" t="s">
        <v>15</v>
      </c>
      <c r="M30" t="s">
        <v>16</v>
      </c>
      <c r="N30" t="s">
        <v>49</v>
      </c>
      <c r="P30" t="s">
        <v>228</v>
      </c>
      <c r="Q30" t="s">
        <v>227</v>
      </c>
      <c r="R30" t="s">
        <v>148</v>
      </c>
      <c r="S30" t="s">
        <v>271</v>
      </c>
      <c r="T30" t="s">
        <v>272</v>
      </c>
    </row>
    <row r="31" spans="1:20" x14ac:dyDescent="0.2">
      <c r="A31">
        <f t="shared" si="0"/>
        <v>30</v>
      </c>
      <c r="B31" t="s">
        <v>83</v>
      </c>
      <c r="C31" t="s">
        <v>318</v>
      </c>
      <c r="D31" t="s">
        <v>386</v>
      </c>
      <c r="E31" t="s">
        <v>84</v>
      </c>
      <c r="F31" s="2">
        <f>_xlfn.XLOOKUP(D31,Patient_ID,Patient_birthdate,"na",0)</f>
        <v>30317</v>
      </c>
      <c r="G31">
        <v>43</v>
      </c>
      <c r="H31" t="s">
        <v>20</v>
      </c>
      <c r="I31" t="s">
        <v>48</v>
      </c>
      <c r="J31" t="s">
        <v>14</v>
      </c>
      <c r="K31">
        <v>196</v>
      </c>
      <c r="L31" t="s">
        <v>15</v>
      </c>
      <c r="M31" t="s">
        <v>22</v>
      </c>
      <c r="N31" t="s">
        <v>49</v>
      </c>
      <c r="P31" t="s">
        <v>230</v>
      </c>
      <c r="Q31" t="s">
        <v>229</v>
      </c>
      <c r="R31" t="s">
        <v>149</v>
      </c>
      <c r="S31" t="s">
        <v>273</v>
      </c>
      <c r="T31" t="s">
        <v>274</v>
      </c>
    </row>
    <row r="32" spans="1:20" x14ac:dyDescent="0.2">
      <c r="A32">
        <f t="shared" si="0"/>
        <v>31</v>
      </c>
      <c r="B32" t="s">
        <v>85</v>
      </c>
      <c r="C32" t="s">
        <v>319</v>
      </c>
      <c r="D32" t="s">
        <v>347</v>
      </c>
      <c r="E32" t="s">
        <v>86</v>
      </c>
      <c r="F32" s="2">
        <f>_xlfn.XLOOKUP(D32,Patient_ID,Patient_birthdate,"na",0)</f>
        <v>28491</v>
      </c>
      <c r="G32">
        <v>48</v>
      </c>
      <c r="H32" t="s">
        <v>20</v>
      </c>
      <c r="I32" t="s">
        <v>29</v>
      </c>
      <c r="J32" t="s">
        <v>14</v>
      </c>
      <c r="K32">
        <v>124</v>
      </c>
      <c r="L32" t="s">
        <v>15</v>
      </c>
      <c r="M32" t="s">
        <v>16</v>
      </c>
      <c r="N32" t="s">
        <v>17</v>
      </c>
      <c r="P32" t="s">
        <v>232</v>
      </c>
      <c r="Q32" t="s">
        <v>231</v>
      </c>
      <c r="R32" t="s">
        <v>150</v>
      </c>
      <c r="S32" t="s">
        <v>275</v>
      </c>
      <c r="T32" t="s">
        <v>276</v>
      </c>
    </row>
    <row r="33" spans="1:20" x14ac:dyDescent="0.2">
      <c r="A33">
        <f t="shared" si="0"/>
        <v>32</v>
      </c>
      <c r="B33" t="s">
        <v>87</v>
      </c>
      <c r="C33" t="s">
        <v>320</v>
      </c>
      <c r="D33" t="s">
        <v>374</v>
      </c>
      <c r="E33" t="s">
        <v>71</v>
      </c>
      <c r="F33" s="2">
        <f>_xlfn.XLOOKUP(D33,Patient_ID,Patient_birthdate,"na",0)</f>
        <v>32874</v>
      </c>
      <c r="G33">
        <v>36</v>
      </c>
      <c r="H33" t="s">
        <v>20</v>
      </c>
      <c r="I33" t="s">
        <v>48</v>
      </c>
      <c r="J33" t="s">
        <v>14</v>
      </c>
      <c r="K33">
        <v>324</v>
      </c>
      <c r="L33" t="s">
        <v>15</v>
      </c>
      <c r="M33" t="s">
        <v>22</v>
      </c>
      <c r="N33" t="s">
        <v>43</v>
      </c>
      <c r="P33" t="s">
        <v>234</v>
      </c>
      <c r="Q33" t="s">
        <v>233</v>
      </c>
      <c r="R33" t="s">
        <v>151</v>
      </c>
      <c r="S33" t="s">
        <v>277</v>
      </c>
      <c r="T33" t="s">
        <v>278</v>
      </c>
    </row>
    <row r="34" spans="1:20" x14ac:dyDescent="0.2">
      <c r="A34">
        <f t="shared" si="0"/>
        <v>33</v>
      </c>
      <c r="B34" t="s">
        <v>88</v>
      </c>
      <c r="C34" t="s">
        <v>321</v>
      </c>
      <c r="D34" t="s">
        <v>367</v>
      </c>
      <c r="E34" t="s">
        <v>89</v>
      </c>
      <c r="F34" s="2">
        <f>_xlfn.XLOOKUP(D34,Patient_ID,Patient_birthdate,"na",0)</f>
        <v>25934</v>
      </c>
      <c r="G34">
        <v>55</v>
      </c>
      <c r="H34" t="s">
        <v>20</v>
      </c>
      <c r="I34" t="s">
        <v>26</v>
      </c>
      <c r="J34" t="s">
        <v>14</v>
      </c>
      <c r="K34">
        <v>149</v>
      </c>
      <c r="L34" t="s">
        <v>15</v>
      </c>
      <c r="M34" t="s">
        <v>22</v>
      </c>
      <c r="N34" t="s">
        <v>49</v>
      </c>
      <c r="P34" t="s">
        <v>236</v>
      </c>
      <c r="Q34" t="s">
        <v>235</v>
      </c>
      <c r="R34" t="s">
        <v>152</v>
      </c>
      <c r="S34" t="s">
        <v>279</v>
      </c>
      <c r="T34" t="s">
        <v>280</v>
      </c>
    </row>
    <row r="35" spans="1:20" x14ac:dyDescent="0.2">
      <c r="A35">
        <f t="shared" si="0"/>
        <v>34</v>
      </c>
      <c r="B35" t="s">
        <v>90</v>
      </c>
      <c r="C35" t="s">
        <v>322</v>
      </c>
      <c r="D35" t="s">
        <v>344</v>
      </c>
      <c r="E35" t="s">
        <v>91</v>
      </c>
      <c r="F35" s="2">
        <f>_xlfn.XLOOKUP(D35,Patient_ID,Patient_birthdate,"na",0)</f>
        <v>34335</v>
      </c>
      <c r="G35">
        <v>32</v>
      </c>
      <c r="H35" t="s">
        <v>20</v>
      </c>
      <c r="I35" t="s">
        <v>52</v>
      </c>
      <c r="J35" t="s">
        <v>14</v>
      </c>
      <c r="K35">
        <v>126</v>
      </c>
      <c r="L35" t="s">
        <v>15</v>
      </c>
      <c r="M35" t="s">
        <v>22</v>
      </c>
      <c r="N35" t="s">
        <v>23</v>
      </c>
      <c r="P35" t="s">
        <v>238</v>
      </c>
      <c r="Q35" t="s">
        <v>237</v>
      </c>
      <c r="R35" t="s">
        <v>153</v>
      </c>
      <c r="S35" t="s">
        <v>281</v>
      </c>
      <c r="T35" t="s">
        <v>282</v>
      </c>
    </row>
    <row r="36" spans="1:20" x14ac:dyDescent="0.2">
      <c r="A36">
        <f t="shared" si="0"/>
        <v>35</v>
      </c>
      <c r="B36" t="s">
        <v>92</v>
      </c>
      <c r="C36" t="s">
        <v>323</v>
      </c>
      <c r="D36" t="s">
        <v>343</v>
      </c>
      <c r="E36" t="s">
        <v>93</v>
      </c>
      <c r="F36" s="2">
        <f>_xlfn.XLOOKUP(D36,Patient_ID,Patient_birthdate,"na",0)</f>
        <v>34700</v>
      </c>
      <c r="G36">
        <v>31</v>
      </c>
      <c r="H36" t="s">
        <v>12</v>
      </c>
      <c r="I36" t="s">
        <v>52</v>
      </c>
      <c r="J36" t="s">
        <v>14</v>
      </c>
      <c r="K36">
        <v>155</v>
      </c>
      <c r="L36" t="s">
        <v>15</v>
      </c>
      <c r="M36" t="s">
        <v>16</v>
      </c>
      <c r="N36" t="s">
        <v>49</v>
      </c>
      <c r="P36" t="s">
        <v>240</v>
      </c>
      <c r="Q36" t="s">
        <v>239</v>
      </c>
      <c r="R36" t="s">
        <v>154</v>
      </c>
      <c r="S36" t="s">
        <v>283</v>
      </c>
      <c r="T36" t="s">
        <v>284</v>
      </c>
    </row>
    <row r="37" spans="1:20" x14ac:dyDescent="0.2">
      <c r="A37">
        <f t="shared" si="0"/>
        <v>36</v>
      </c>
      <c r="B37" t="s">
        <v>94</v>
      </c>
      <c r="C37" t="s">
        <v>324</v>
      </c>
      <c r="D37" t="s">
        <v>359</v>
      </c>
      <c r="E37" t="s">
        <v>95</v>
      </c>
      <c r="F37" s="2">
        <f>_xlfn.XLOOKUP(D37,Patient_ID,Patient_birthdate,"na",0)</f>
        <v>33604</v>
      </c>
      <c r="G37">
        <v>34</v>
      </c>
      <c r="H37" t="s">
        <v>20</v>
      </c>
      <c r="I37" t="s">
        <v>29</v>
      </c>
      <c r="J37" t="s">
        <v>32</v>
      </c>
      <c r="K37" t="s">
        <v>33</v>
      </c>
      <c r="L37" t="s">
        <v>15</v>
      </c>
      <c r="M37" t="s">
        <v>16</v>
      </c>
      <c r="N37" t="s">
        <v>23</v>
      </c>
      <c r="P37" t="s">
        <v>242</v>
      </c>
      <c r="Q37" t="s">
        <v>241</v>
      </c>
      <c r="R37" t="s">
        <v>155</v>
      </c>
      <c r="S37" t="s">
        <v>271</v>
      </c>
      <c r="T37" t="s">
        <v>272</v>
      </c>
    </row>
    <row r="38" spans="1:20" x14ac:dyDescent="0.2">
      <c r="A38">
        <f t="shared" si="0"/>
        <v>37</v>
      </c>
      <c r="B38" t="s">
        <v>96</v>
      </c>
      <c r="C38" t="s">
        <v>325</v>
      </c>
      <c r="D38" t="s">
        <v>363</v>
      </c>
      <c r="E38" t="s">
        <v>97</v>
      </c>
      <c r="F38" s="2">
        <f>_xlfn.XLOOKUP(D38,Patient_ID,Patient_birthdate,"na",0)</f>
        <v>37987</v>
      </c>
      <c r="G38">
        <v>22</v>
      </c>
      <c r="H38" t="s">
        <v>12</v>
      </c>
      <c r="I38" t="s">
        <v>26</v>
      </c>
      <c r="J38" t="s">
        <v>32</v>
      </c>
      <c r="K38" t="s">
        <v>33</v>
      </c>
      <c r="L38" t="s">
        <v>15</v>
      </c>
      <c r="M38" t="s">
        <v>16</v>
      </c>
      <c r="N38" t="s">
        <v>23</v>
      </c>
      <c r="P38" t="s">
        <v>244</v>
      </c>
      <c r="Q38" t="s">
        <v>243</v>
      </c>
      <c r="R38" t="s">
        <v>156</v>
      </c>
      <c r="S38" t="s">
        <v>273</v>
      </c>
      <c r="T38" t="s">
        <v>274</v>
      </c>
    </row>
    <row r="39" spans="1:20" x14ac:dyDescent="0.2">
      <c r="A39">
        <f t="shared" si="0"/>
        <v>38</v>
      </c>
      <c r="B39" t="s">
        <v>98</v>
      </c>
      <c r="C39" t="s">
        <v>326</v>
      </c>
      <c r="D39" t="s">
        <v>368</v>
      </c>
      <c r="E39" t="s">
        <v>93</v>
      </c>
      <c r="F39" s="2">
        <f>_xlfn.XLOOKUP(D39,Patient_ID,Patient_birthdate,"na",0)</f>
        <v>26299</v>
      </c>
      <c r="G39">
        <v>54</v>
      </c>
      <c r="H39" t="s">
        <v>12</v>
      </c>
      <c r="I39" t="s">
        <v>52</v>
      </c>
      <c r="J39" t="s">
        <v>14</v>
      </c>
      <c r="K39">
        <v>318</v>
      </c>
      <c r="L39" t="s">
        <v>15</v>
      </c>
      <c r="M39" t="s">
        <v>22</v>
      </c>
      <c r="N39" t="s">
        <v>17</v>
      </c>
      <c r="P39" t="s">
        <v>246</v>
      </c>
      <c r="Q39" t="s">
        <v>245</v>
      </c>
      <c r="R39" t="s">
        <v>157</v>
      </c>
      <c r="S39" t="s">
        <v>275</v>
      </c>
      <c r="T39" t="s">
        <v>276</v>
      </c>
    </row>
    <row r="40" spans="1:20" x14ac:dyDescent="0.2">
      <c r="A40">
        <f t="shared" si="0"/>
        <v>39</v>
      </c>
      <c r="B40" t="s">
        <v>99</v>
      </c>
      <c r="C40" t="s">
        <v>327</v>
      </c>
      <c r="D40" t="s">
        <v>379</v>
      </c>
      <c r="E40" t="s">
        <v>100</v>
      </c>
      <c r="F40" s="2">
        <f>_xlfn.XLOOKUP(D40,Patient_ID,Patient_birthdate,"na",0)</f>
        <v>34700</v>
      </c>
      <c r="G40">
        <v>31</v>
      </c>
      <c r="H40" t="s">
        <v>20</v>
      </c>
      <c r="I40" t="s">
        <v>13</v>
      </c>
      <c r="J40" t="s">
        <v>14</v>
      </c>
      <c r="K40">
        <v>318</v>
      </c>
      <c r="L40" t="s">
        <v>15</v>
      </c>
      <c r="M40" t="s">
        <v>22</v>
      </c>
      <c r="N40" t="s">
        <v>23</v>
      </c>
      <c r="P40" t="s">
        <v>248</v>
      </c>
      <c r="Q40" t="s">
        <v>247</v>
      </c>
      <c r="R40" t="s">
        <v>158</v>
      </c>
      <c r="S40" t="s">
        <v>277</v>
      </c>
      <c r="T40" t="s">
        <v>278</v>
      </c>
    </row>
    <row r="41" spans="1:20" x14ac:dyDescent="0.2">
      <c r="A41">
        <f t="shared" si="0"/>
        <v>40</v>
      </c>
      <c r="B41" t="s">
        <v>101</v>
      </c>
      <c r="C41" t="s">
        <v>328</v>
      </c>
      <c r="D41" t="s">
        <v>366</v>
      </c>
      <c r="E41" t="s">
        <v>102</v>
      </c>
      <c r="F41" s="2">
        <f>_xlfn.XLOOKUP(D41,Patient_ID,Patient_birthdate,"na",0)</f>
        <v>34335</v>
      </c>
      <c r="G41">
        <v>32</v>
      </c>
      <c r="H41" t="s">
        <v>12</v>
      </c>
      <c r="I41" t="s">
        <v>29</v>
      </c>
      <c r="J41" t="s">
        <v>14</v>
      </c>
      <c r="K41">
        <v>338</v>
      </c>
      <c r="L41" t="s">
        <v>15</v>
      </c>
      <c r="M41" t="s">
        <v>16</v>
      </c>
      <c r="N41" t="s">
        <v>43</v>
      </c>
      <c r="P41" t="s">
        <v>250</v>
      </c>
      <c r="Q41" t="s">
        <v>249</v>
      </c>
      <c r="R41" t="s">
        <v>159</v>
      </c>
      <c r="S41" t="s">
        <v>279</v>
      </c>
      <c r="T41" t="s">
        <v>280</v>
      </c>
    </row>
    <row r="42" spans="1:20" x14ac:dyDescent="0.2">
      <c r="A42">
        <f t="shared" si="0"/>
        <v>41</v>
      </c>
      <c r="B42" t="s">
        <v>103</v>
      </c>
      <c r="C42" t="s">
        <v>329</v>
      </c>
      <c r="D42" t="s">
        <v>357</v>
      </c>
      <c r="E42" t="s">
        <v>104</v>
      </c>
      <c r="F42" s="2">
        <f>_xlfn.XLOOKUP(D42,Patient_ID,Patient_birthdate,"na",0)</f>
        <v>38353</v>
      </c>
      <c r="G42">
        <v>21</v>
      </c>
      <c r="H42" t="s">
        <v>20</v>
      </c>
      <c r="I42" t="s">
        <v>48</v>
      </c>
      <c r="J42" t="s">
        <v>14</v>
      </c>
      <c r="K42">
        <v>64</v>
      </c>
      <c r="L42" t="s">
        <v>15</v>
      </c>
      <c r="M42" t="s">
        <v>22</v>
      </c>
      <c r="N42" t="s">
        <v>49</v>
      </c>
      <c r="P42" t="s">
        <v>252</v>
      </c>
      <c r="Q42" t="s">
        <v>251</v>
      </c>
      <c r="R42" t="s">
        <v>160</v>
      </c>
      <c r="S42" t="s">
        <v>281</v>
      </c>
      <c r="T42" t="s">
        <v>282</v>
      </c>
    </row>
    <row r="43" spans="1:20" x14ac:dyDescent="0.2">
      <c r="A43">
        <f t="shared" si="0"/>
        <v>42</v>
      </c>
      <c r="B43" t="s">
        <v>105</v>
      </c>
      <c r="C43" t="s">
        <v>330</v>
      </c>
      <c r="D43" t="s">
        <v>387</v>
      </c>
      <c r="E43" t="s">
        <v>106</v>
      </c>
      <c r="F43" s="2">
        <f>_xlfn.XLOOKUP(D43,Patient_ID,Patient_birthdate,"na",0)</f>
        <v>27395</v>
      </c>
      <c r="G43">
        <v>51</v>
      </c>
      <c r="H43" t="s">
        <v>20</v>
      </c>
      <c r="I43" t="s">
        <v>52</v>
      </c>
      <c r="J43" t="s">
        <v>14</v>
      </c>
      <c r="K43">
        <v>209</v>
      </c>
      <c r="L43" t="s">
        <v>15</v>
      </c>
      <c r="M43" t="s">
        <v>16</v>
      </c>
      <c r="N43" t="s">
        <v>23</v>
      </c>
      <c r="P43" t="s">
        <v>254</v>
      </c>
      <c r="Q43" t="s">
        <v>253</v>
      </c>
      <c r="R43" t="s">
        <v>161</v>
      </c>
      <c r="S43" t="s">
        <v>283</v>
      </c>
      <c r="T43" t="s">
        <v>284</v>
      </c>
    </row>
    <row r="44" spans="1:20" x14ac:dyDescent="0.2">
      <c r="A44">
        <f t="shared" si="0"/>
        <v>43</v>
      </c>
      <c r="B44" t="s">
        <v>107</v>
      </c>
      <c r="C44" t="s">
        <v>331</v>
      </c>
      <c r="D44" t="s">
        <v>355</v>
      </c>
      <c r="E44" t="s">
        <v>108</v>
      </c>
      <c r="F44" s="2">
        <f>_xlfn.XLOOKUP(D44,Patient_ID,Patient_birthdate,"na",0)</f>
        <v>28856</v>
      </c>
      <c r="G44">
        <v>47</v>
      </c>
      <c r="H44" t="s">
        <v>12</v>
      </c>
      <c r="I44" t="s">
        <v>48</v>
      </c>
      <c r="J44" t="s">
        <v>14</v>
      </c>
      <c r="K44">
        <v>225</v>
      </c>
      <c r="L44" t="s">
        <v>15</v>
      </c>
      <c r="M44" t="s">
        <v>22</v>
      </c>
      <c r="N44" t="s">
        <v>17</v>
      </c>
      <c r="P44" t="s">
        <v>256</v>
      </c>
      <c r="Q44" t="s">
        <v>255</v>
      </c>
      <c r="R44" t="s">
        <v>162</v>
      </c>
      <c r="S44" t="s">
        <v>271</v>
      </c>
      <c r="T44" t="s">
        <v>272</v>
      </c>
    </row>
    <row r="45" spans="1:20" x14ac:dyDescent="0.2">
      <c r="A45">
        <f t="shared" si="0"/>
        <v>44</v>
      </c>
      <c r="B45" t="s">
        <v>109</v>
      </c>
      <c r="C45" t="s">
        <v>332</v>
      </c>
      <c r="D45" t="s">
        <v>349</v>
      </c>
      <c r="E45" t="s">
        <v>69</v>
      </c>
      <c r="F45" s="2">
        <f>_xlfn.XLOOKUP(D45,Patient_ID,Patient_birthdate,"na",0)</f>
        <v>29221</v>
      </c>
      <c r="G45">
        <v>46</v>
      </c>
      <c r="H45" t="s">
        <v>20</v>
      </c>
      <c r="I45" t="s">
        <v>26</v>
      </c>
      <c r="J45" t="s">
        <v>14</v>
      </c>
      <c r="K45">
        <v>207</v>
      </c>
      <c r="L45" t="s">
        <v>15</v>
      </c>
      <c r="M45" t="s">
        <v>22</v>
      </c>
      <c r="N45" t="s">
        <v>17</v>
      </c>
      <c r="P45" t="s">
        <v>258</v>
      </c>
      <c r="Q45" t="s">
        <v>257</v>
      </c>
      <c r="R45" t="s">
        <v>163</v>
      </c>
      <c r="S45" t="s">
        <v>273</v>
      </c>
      <c r="T45" t="s">
        <v>274</v>
      </c>
    </row>
    <row r="46" spans="1:20" x14ac:dyDescent="0.2">
      <c r="A46">
        <f t="shared" si="0"/>
        <v>45</v>
      </c>
      <c r="B46" t="s">
        <v>110</v>
      </c>
      <c r="C46" t="s">
        <v>333</v>
      </c>
      <c r="D46" t="s">
        <v>350</v>
      </c>
      <c r="E46" t="s">
        <v>111</v>
      </c>
      <c r="F46" s="2">
        <f>_xlfn.XLOOKUP(D46,Patient_ID,Patient_birthdate,"na",0)</f>
        <v>28126</v>
      </c>
      <c r="G46">
        <v>49</v>
      </c>
      <c r="H46" t="s">
        <v>20</v>
      </c>
      <c r="I46" t="s">
        <v>26</v>
      </c>
      <c r="J46" t="s">
        <v>14</v>
      </c>
      <c r="K46">
        <v>63</v>
      </c>
      <c r="L46" t="s">
        <v>15</v>
      </c>
      <c r="M46" t="s">
        <v>16</v>
      </c>
      <c r="N46" t="s">
        <v>43</v>
      </c>
      <c r="P46" t="s">
        <v>260</v>
      </c>
      <c r="Q46" t="s">
        <v>259</v>
      </c>
      <c r="R46" t="s">
        <v>164</v>
      </c>
      <c r="S46" t="s">
        <v>275</v>
      </c>
      <c r="T46" t="s">
        <v>276</v>
      </c>
    </row>
    <row r="47" spans="1:20" x14ac:dyDescent="0.2">
      <c r="A47">
        <f t="shared" si="0"/>
        <v>46</v>
      </c>
      <c r="B47" t="s">
        <v>112</v>
      </c>
      <c r="C47" t="s">
        <v>334</v>
      </c>
      <c r="D47" t="s">
        <v>388</v>
      </c>
      <c r="E47" t="s">
        <v>40</v>
      </c>
      <c r="F47" s="2">
        <f>_xlfn.XLOOKUP(D47,Patient_ID,Patient_birthdate,"na",0)</f>
        <v>33239</v>
      </c>
      <c r="G47">
        <v>35</v>
      </c>
      <c r="H47" t="s">
        <v>12</v>
      </c>
      <c r="I47" t="s">
        <v>21</v>
      </c>
      <c r="J47" t="s">
        <v>14</v>
      </c>
      <c r="K47">
        <v>147</v>
      </c>
      <c r="L47" t="s">
        <v>15</v>
      </c>
      <c r="M47" t="s">
        <v>16</v>
      </c>
      <c r="N47" t="s">
        <v>23</v>
      </c>
      <c r="P47" t="s">
        <v>262</v>
      </c>
      <c r="Q47" t="s">
        <v>261</v>
      </c>
      <c r="R47" t="s">
        <v>165</v>
      </c>
      <c r="S47" t="s">
        <v>277</v>
      </c>
      <c r="T47" t="s">
        <v>278</v>
      </c>
    </row>
    <row r="48" spans="1:20" x14ac:dyDescent="0.2">
      <c r="A48">
        <f t="shared" si="0"/>
        <v>47</v>
      </c>
      <c r="B48" t="s">
        <v>113</v>
      </c>
      <c r="C48" t="s">
        <v>335</v>
      </c>
      <c r="D48" t="s">
        <v>377</v>
      </c>
      <c r="E48" t="s">
        <v>114</v>
      </c>
      <c r="F48" s="2">
        <f>_xlfn.XLOOKUP(D48,Patient_ID,Patient_birthdate,"na",0)</f>
        <v>34700</v>
      </c>
      <c r="G48">
        <v>31</v>
      </c>
      <c r="H48" t="s">
        <v>20</v>
      </c>
      <c r="I48" t="s">
        <v>52</v>
      </c>
      <c r="J48" t="s">
        <v>14</v>
      </c>
      <c r="K48">
        <v>160</v>
      </c>
      <c r="L48" t="s">
        <v>15</v>
      </c>
      <c r="M48" t="s">
        <v>22</v>
      </c>
      <c r="N48" t="s">
        <v>17</v>
      </c>
      <c r="P48" t="s">
        <v>264</v>
      </c>
      <c r="Q48" t="s">
        <v>263</v>
      </c>
      <c r="R48" t="s">
        <v>166</v>
      </c>
      <c r="S48" t="s">
        <v>279</v>
      </c>
      <c r="T48" t="s">
        <v>280</v>
      </c>
    </row>
    <row r="49" spans="1:20" x14ac:dyDescent="0.2">
      <c r="A49">
        <f t="shared" si="0"/>
        <v>48</v>
      </c>
      <c r="B49" t="s">
        <v>115</v>
      </c>
      <c r="C49" t="s">
        <v>336</v>
      </c>
      <c r="D49" t="s">
        <v>361</v>
      </c>
      <c r="E49" t="s">
        <v>91</v>
      </c>
      <c r="F49" s="2">
        <f>_xlfn.XLOOKUP(D49,Patient_ID,Patient_birthdate,"na",0)</f>
        <v>25204</v>
      </c>
      <c r="G49">
        <v>57</v>
      </c>
      <c r="H49" t="s">
        <v>20</v>
      </c>
      <c r="I49" t="s">
        <v>21</v>
      </c>
      <c r="J49" t="s">
        <v>14</v>
      </c>
      <c r="K49">
        <v>138</v>
      </c>
      <c r="L49" t="s">
        <v>15</v>
      </c>
      <c r="M49" t="s">
        <v>22</v>
      </c>
      <c r="N49" t="s">
        <v>49</v>
      </c>
      <c r="P49" t="s">
        <v>266</v>
      </c>
      <c r="Q49" t="s">
        <v>265</v>
      </c>
      <c r="R49" t="s">
        <v>167</v>
      </c>
      <c r="S49" t="s">
        <v>281</v>
      </c>
      <c r="T49" t="s">
        <v>282</v>
      </c>
    </row>
    <row r="50" spans="1:20" x14ac:dyDescent="0.2">
      <c r="A50">
        <f t="shared" si="0"/>
        <v>49</v>
      </c>
      <c r="B50" t="s">
        <v>116</v>
      </c>
      <c r="C50" t="s">
        <v>337</v>
      </c>
      <c r="D50" t="s">
        <v>354</v>
      </c>
      <c r="E50" t="s">
        <v>117</v>
      </c>
      <c r="F50" s="2">
        <f>_xlfn.XLOOKUP(D50,Patient_ID,Patient_birthdate,"na",0)</f>
        <v>31048</v>
      </c>
      <c r="G50">
        <v>41</v>
      </c>
      <c r="H50" t="s">
        <v>20</v>
      </c>
      <c r="I50" t="s">
        <v>48</v>
      </c>
      <c r="J50" t="s">
        <v>32</v>
      </c>
      <c r="K50" t="s">
        <v>33</v>
      </c>
      <c r="L50" t="s">
        <v>15</v>
      </c>
      <c r="M50" t="s">
        <v>16</v>
      </c>
      <c r="N50" t="s">
        <v>23</v>
      </c>
      <c r="P50" t="s">
        <v>268</v>
      </c>
      <c r="Q50" t="s">
        <v>267</v>
      </c>
      <c r="R50" t="s">
        <v>168</v>
      </c>
      <c r="S50" t="s">
        <v>283</v>
      </c>
      <c r="T50" t="s">
        <v>284</v>
      </c>
    </row>
    <row r="51" spans="1:20" x14ac:dyDescent="0.2">
      <c r="A51">
        <f t="shared" si="0"/>
        <v>50</v>
      </c>
      <c r="B51" t="s">
        <v>118</v>
      </c>
      <c r="C51" t="s">
        <v>338</v>
      </c>
      <c r="D51" t="s">
        <v>360</v>
      </c>
      <c r="E51" t="s">
        <v>119</v>
      </c>
      <c r="F51" s="2">
        <f>_xlfn.XLOOKUP(D51,Patient_ID,Patient_birthdate,"na",0)</f>
        <v>25569</v>
      </c>
      <c r="G51">
        <v>56</v>
      </c>
      <c r="H51" t="s">
        <v>12</v>
      </c>
      <c r="I51" t="s">
        <v>48</v>
      </c>
      <c r="J51" t="s">
        <v>14</v>
      </c>
      <c r="K51">
        <v>128</v>
      </c>
      <c r="L51" t="s">
        <v>15</v>
      </c>
      <c r="M51" t="s">
        <v>22</v>
      </c>
      <c r="N51" t="s">
        <v>72</v>
      </c>
      <c r="P51" t="s">
        <v>270</v>
      </c>
      <c r="Q51" t="s">
        <v>269</v>
      </c>
      <c r="R51" t="s">
        <v>169</v>
      </c>
      <c r="S51" t="s">
        <v>271</v>
      </c>
      <c r="T51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B4C8-78DE-8F46-9447-BC9679B09312}">
  <dimension ref="A1:L51"/>
  <sheetViews>
    <sheetView workbookViewId="0">
      <selection activeCell="I2" sqref="I2:I51"/>
    </sheetView>
  </sheetViews>
  <sheetFormatPr baseColWidth="10" defaultRowHeight="16" x14ac:dyDescent="0.2"/>
  <cols>
    <col min="1" max="1" width="14.6640625" customWidth="1"/>
  </cols>
  <sheetData>
    <row r="1" spans="1:12" x14ac:dyDescent="0.2">
      <c r="A1" t="s">
        <v>390</v>
      </c>
      <c r="B1" t="s">
        <v>0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</row>
    <row r="2" spans="1:12" x14ac:dyDescent="0.2">
      <c r="A2" t="s">
        <v>302</v>
      </c>
      <c r="B2" t="s">
        <v>340</v>
      </c>
      <c r="D2" t="s">
        <v>401</v>
      </c>
      <c r="E2" t="s">
        <v>340</v>
      </c>
      <c r="F2" t="s">
        <v>402</v>
      </c>
      <c r="G2" t="s">
        <v>403</v>
      </c>
      <c r="H2" t="s">
        <v>12</v>
      </c>
      <c r="I2" s="1">
        <v>24108</v>
      </c>
      <c r="J2" t="b">
        <v>1</v>
      </c>
      <c r="K2" t="s">
        <v>52</v>
      </c>
      <c r="L2" t="s">
        <v>404</v>
      </c>
    </row>
    <row r="3" spans="1:12" x14ac:dyDescent="0.2">
      <c r="A3" t="s">
        <v>298</v>
      </c>
      <c r="B3" t="s">
        <v>341</v>
      </c>
      <c r="D3" t="s">
        <v>405</v>
      </c>
      <c r="E3" t="s">
        <v>341</v>
      </c>
      <c r="F3" t="s">
        <v>406</v>
      </c>
      <c r="G3" t="s">
        <v>407</v>
      </c>
      <c r="H3" t="s">
        <v>12</v>
      </c>
      <c r="I3" s="1">
        <v>24473</v>
      </c>
      <c r="J3" t="b">
        <v>1</v>
      </c>
      <c r="K3" t="s">
        <v>26</v>
      </c>
      <c r="L3" t="s">
        <v>404</v>
      </c>
    </row>
    <row r="4" spans="1:12" x14ac:dyDescent="0.2">
      <c r="A4" t="s">
        <v>295</v>
      </c>
      <c r="B4" t="s">
        <v>342</v>
      </c>
      <c r="D4" t="s">
        <v>408</v>
      </c>
      <c r="E4" t="s">
        <v>342</v>
      </c>
      <c r="F4" t="s">
        <v>409</v>
      </c>
      <c r="G4" t="s">
        <v>410</v>
      </c>
      <c r="H4" t="s">
        <v>12</v>
      </c>
      <c r="I4" s="1">
        <v>30317</v>
      </c>
      <c r="J4" t="b">
        <v>1</v>
      </c>
      <c r="K4" t="s">
        <v>29</v>
      </c>
      <c r="L4" t="s">
        <v>404</v>
      </c>
    </row>
    <row r="5" spans="1:12" x14ac:dyDescent="0.2">
      <c r="A5" t="s">
        <v>323</v>
      </c>
      <c r="B5" t="s">
        <v>343</v>
      </c>
      <c r="D5" t="s">
        <v>411</v>
      </c>
      <c r="E5" t="s">
        <v>343</v>
      </c>
      <c r="F5" t="s">
        <v>412</v>
      </c>
      <c r="G5" t="s">
        <v>403</v>
      </c>
      <c r="H5" t="s">
        <v>12</v>
      </c>
      <c r="I5" s="1">
        <v>34700</v>
      </c>
      <c r="J5" t="b">
        <v>1</v>
      </c>
      <c r="K5" t="s">
        <v>52</v>
      </c>
      <c r="L5" t="s">
        <v>404</v>
      </c>
    </row>
    <row r="6" spans="1:12" x14ac:dyDescent="0.2">
      <c r="A6" t="s">
        <v>322</v>
      </c>
      <c r="B6" t="s">
        <v>344</v>
      </c>
      <c r="D6" t="s">
        <v>413</v>
      </c>
      <c r="E6" t="s">
        <v>344</v>
      </c>
      <c r="F6" t="s">
        <v>414</v>
      </c>
      <c r="G6" t="s">
        <v>415</v>
      </c>
      <c r="H6" t="s">
        <v>20</v>
      </c>
      <c r="I6" s="1">
        <v>34335</v>
      </c>
      <c r="J6" t="b">
        <v>1</v>
      </c>
      <c r="K6" t="s">
        <v>52</v>
      </c>
      <c r="L6" t="s">
        <v>404</v>
      </c>
    </row>
    <row r="7" spans="1:12" x14ac:dyDescent="0.2">
      <c r="A7" t="s">
        <v>315</v>
      </c>
      <c r="B7" t="s">
        <v>345</v>
      </c>
      <c r="D7" t="s">
        <v>416</v>
      </c>
      <c r="E7" t="s">
        <v>345</v>
      </c>
      <c r="F7" t="s">
        <v>417</v>
      </c>
      <c r="G7" t="s">
        <v>407</v>
      </c>
      <c r="H7" t="s">
        <v>12</v>
      </c>
      <c r="I7" s="1">
        <v>25934</v>
      </c>
      <c r="J7" t="b">
        <v>1</v>
      </c>
      <c r="K7" t="s">
        <v>52</v>
      </c>
      <c r="L7" t="s">
        <v>404</v>
      </c>
    </row>
    <row r="8" spans="1:12" x14ac:dyDescent="0.2">
      <c r="A8" t="s">
        <v>307</v>
      </c>
      <c r="B8" t="s">
        <v>346</v>
      </c>
      <c r="D8" t="s">
        <v>418</v>
      </c>
      <c r="E8" t="s">
        <v>346</v>
      </c>
      <c r="F8" t="s">
        <v>409</v>
      </c>
      <c r="G8" t="s">
        <v>419</v>
      </c>
      <c r="H8" t="s">
        <v>20</v>
      </c>
      <c r="I8" s="1">
        <v>34335</v>
      </c>
      <c r="J8" t="b">
        <v>1</v>
      </c>
      <c r="K8" t="s">
        <v>13</v>
      </c>
      <c r="L8" t="s">
        <v>404</v>
      </c>
    </row>
    <row r="9" spans="1:12" x14ac:dyDescent="0.2">
      <c r="A9" t="s">
        <v>319</v>
      </c>
      <c r="B9" t="s">
        <v>347</v>
      </c>
      <c r="D9" t="s">
        <v>420</v>
      </c>
      <c r="E9" t="s">
        <v>347</v>
      </c>
      <c r="F9" t="s">
        <v>421</v>
      </c>
      <c r="G9" t="s">
        <v>415</v>
      </c>
      <c r="H9" t="s">
        <v>20</v>
      </c>
      <c r="I9" s="1">
        <v>28491</v>
      </c>
      <c r="J9" t="b">
        <v>1</v>
      </c>
      <c r="K9" t="s">
        <v>29</v>
      </c>
      <c r="L9" t="s">
        <v>404</v>
      </c>
    </row>
    <row r="10" spans="1:12" x14ac:dyDescent="0.2">
      <c r="A10" t="s">
        <v>299</v>
      </c>
      <c r="B10" t="s">
        <v>348</v>
      </c>
      <c r="D10" t="s">
        <v>422</v>
      </c>
      <c r="E10" t="s">
        <v>348</v>
      </c>
      <c r="F10" t="s">
        <v>412</v>
      </c>
      <c r="G10" t="s">
        <v>419</v>
      </c>
      <c r="H10" t="s">
        <v>12</v>
      </c>
      <c r="I10" s="1">
        <v>37257</v>
      </c>
      <c r="J10" t="b">
        <v>1</v>
      </c>
      <c r="K10" t="s">
        <v>48</v>
      </c>
      <c r="L10" t="s">
        <v>404</v>
      </c>
    </row>
    <row r="11" spans="1:12" x14ac:dyDescent="0.2">
      <c r="A11" t="s">
        <v>332</v>
      </c>
      <c r="B11" t="s">
        <v>349</v>
      </c>
      <c r="D11" t="s">
        <v>423</v>
      </c>
      <c r="E11" t="s">
        <v>349</v>
      </c>
      <c r="F11" t="s">
        <v>417</v>
      </c>
      <c r="G11" t="s">
        <v>424</v>
      </c>
      <c r="H11" t="s">
        <v>20</v>
      </c>
      <c r="I11" s="1">
        <v>29221</v>
      </c>
      <c r="J11" t="b">
        <v>1</v>
      </c>
      <c r="K11" t="s">
        <v>26</v>
      </c>
      <c r="L11" t="s">
        <v>404</v>
      </c>
    </row>
    <row r="12" spans="1:12" x14ac:dyDescent="0.2">
      <c r="A12" t="s">
        <v>333</v>
      </c>
      <c r="B12" t="s">
        <v>350</v>
      </c>
      <c r="D12" t="s">
        <v>425</v>
      </c>
      <c r="E12" t="s">
        <v>350</v>
      </c>
      <c r="F12" t="s">
        <v>412</v>
      </c>
      <c r="G12" t="s">
        <v>426</v>
      </c>
      <c r="H12" t="s">
        <v>20</v>
      </c>
      <c r="I12" s="1">
        <v>28126</v>
      </c>
      <c r="J12" t="b">
        <v>1</v>
      </c>
      <c r="K12" t="s">
        <v>26</v>
      </c>
      <c r="L12" t="s">
        <v>404</v>
      </c>
    </row>
    <row r="13" spans="1:12" x14ac:dyDescent="0.2">
      <c r="A13" t="s">
        <v>297</v>
      </c>
      <c r="B13" t="s">
        <v>351</v>
      </c>
      <c r="D13" t="s">
        <v>427</v>
      </c>
      <c r="E13" t="s">
        <v>351</v>
      </c>
      <c r="F13" t="s">
        <v>409</v>
      </c>
      <c r="G13" t="s">
        <v>407</v>
      </c>
      <c r="H13" t="s">
        <v>20</v>
      </c>
      <c r="I13" s="1">
        <v>36526</v>
      </c>
      <c r="J13" t="b">
        <v>1</v>
      </c>
      <c r="K13" t="s">
        <v>21</v>
      </c>
      <c r="L13" t="s">
        <v>404</v>
      </c>
    </row>
    <row r="14" spans="1:12" x14ac:dyDescent="0.2">
      <c r="A14" t="s">
        <v>312</v>
      </c>
      <c r="B14" t="s">
        <v>352</v>
      </c>
      <c r="D14" t="s">
        <v>428</v>
      </c>
      <c r="E14" t="s">
        <v>352</v>
      </c>
      <c r="F14" t="s">
        <v>421</v>
      </c>
      <c r="G14" t="s">
        <v>429</v>
      </c>
      <c r="H14" t="s">
        <v>12</v>
      </c>
      <c r="I14" s="1">
        <v>37622</v>
      </c>
      <c r="J14" t="b">
        <v>1</v>
      </c>
      <c r="K14" t="s">
        <v>48</v>
      </c>
      <c r="L14" t="s">
        <v>404</v>
      </c>
    </row>
    <row r="15" spans="1:12" x14ac:dyDescent="0.2">
      <c r="A15" t="s">
        <v>296</v>
      </c>
      <c r="B15" t="s">
        <v>353</v>
      </c>
      <c r="D15" t="s">
        <v>430</v>
      </c>
      <c r="E15" t="s">
        <v>353</v>
      </c>
      <c r="F15" t="s">
        <v>406</v>
      </c>
      <c r="G15" t="s">
        <v>410</v>
      </c>
      <c r="H15" t="s">
        <v>20</v>
      </c>
      <c r="I15" s="1">
        <v>29952</v>
      </c>
      <c r="J15" t="b">
        <v>1</v>
      </c>
      <c r="K15" t="s">
        <v>21</v>
      </c>
      <c r="L15" t="s">
        <v>404</v>
      </c>
    </row>
    <row r="16" spans="1:12" x14ac:dyDescent="0.2">
      <c r="A16" t="s">
        <v>337</v>
      </c>
      <c r="B16" t="s">
        <v>354</v>
      </c>
      <c r="D16" t="s">
        <v>431</v>
      </c>
      <c r="E16" t="s">
        <v>354</v>
      </c>
      <c r="F16" t="s">
        <v>432</v>
      </c>
      <c r="G16" t="s">
        <v>403</v>
      </c>
      <c r="H16" t="s">
        <v>20</v>
      </c>
      <c r="I16" s="1">
        <v>31048</v>
      </c>
      <c r="J16" t="b">
        <v>1</v>
      </c>
      <c r="K16" t="s">
        <v>48</v>
      </c>
      <c r="L16" t="s">
        <v>404</v>
      </c>
    </row>
    <row r="17" spans="1:12" x14ac:dyDescent="0.2">
      <c r="A17" t="s">
        <v>331</v>
      </c>
      <c r="B17" t="s">
        <v>355</v>
      </c>
      <c r="D17" t="s">
        <v>433</v>
      </c>
      <c r="E17" t="s">
        <v>355</v>
      </c>
      <c r="F17" t="s">
        <v>421</v>
      </c>
      <c r="G17" t="s">
        <v>426</v>
      </c>
      <c r="H17" t="s">
        <v>12</v>
      </c>
      <c r="I17" s="1">
        <v>28856</v>
      </c>
      <c r="J17" t="b">
        <v>1</v>
      </c>
      <c r="K17" t="s">
        <v>48</v>
      </c>
      <c r="L17" t="s">
        <v>404</v>
      </c>
    </row>
    <row r="18" spans="1:12" x14ac:dyDescent="0.2">
      <c r="A18" t="s">
        <v>310</v>
      </c>
      <c r="B18" t="s">
        <v>356</v>
      </c>
      <c r="D18" t="s">
        <v>434</v>
      </c>
      <c r="E18" t="s">
        <v>356</v>
      </c>
      <c r="F18" t="s">
        <v>417</v>
      </c>
      <c r="G18" t="s">
        <v>424</v>
      </c>
      <c r="H18" t="s">
        <v>12</v>
      </c>
      <c r="I18" s="1">
        <v>36892</v>
      </c>
      <c r="J18" t="b">
        <v>1</v>
      </c>
      <c r="K18" t="s">
        <v>29</v>
      </c>
      <c r="L18" t="s">
        <v>404</v>
      </c>
    </row>
    <row r="19" spans="1:12" x14ac:dyDescent="0.2">
      <c r="A19" t="s">
        <v>329</v>
      </c>
      <c r="B19" t="s">
        <v>357</v>
      </c>
      <c r="D19" t="s">
        <v>435</v>
      </c>
      <c r="E19" t="s">
        <v>357</v>
      </c>
      <c r="F19" t="s">
        <v>436</v>
      </c>
      <c r="G19" t="s">
        <v>426</v>
      </c>
      <c r="H19" t="s">
        <v>20</v>
      </c>
      <c r="I19" s="1">
        <v>38353</v>
      </c>
      <c r="J19" t="b">
        <v>1</v>
      </c>
      <c r="K19" t="s">
        <v>48</v>
      </c>
      <c r="L19" t="s">
        <v>404</v>
      </c>
    </row>
    <row r="20" spans="1:12" x14ac:dyDescent="0.2">
      <c r="A20" t="s">
        <v>309</v>
      </c>
      <c r="B20" t="s">
        <v>358</v>
      </c>
      <c r="D20" t="s">
        <v>437</v>
      </c>
      <c r="E20" t="s">
        <v>358</v>
      </c>
      <c r="F20" t="s">
        <v>438</v>
      </c>
      <c r="G20" t="s">
        <v>424</v>
      </c>
      <c r="H20" t="s">
        <v>20</v>
      </c>
      <c r="I20" s="1">
        <v>30682</v>
      </c>
      <c r="J20" t="b">
        <v>1</v>
      </c>
      <c r="K20" t="s">
        <v>52</v>
      </c>
      <c r="L20" t="s">
        <v>404</v>
      </c>
    </row>
    <row r="21" spans="1:12" x14ac:dyDescent="0.2">
      <c r="A21" t="s">
        <v>324</v>
      </c>
      <c r="B21" t="s">
        <v>359</v>
      </c>
      <c r="D21" t="s">
        <v>439</v>
      </c>
      <c r="E21" t="s">
        <v>359</v>
      </c>
      <c r="F21" t="s">
        <v>436</v>
      </c>
      <c r="G21" t="s">
        <v>410</v>
      </c>
      <c r="H21" t="s">
        <v>20</v>
      </c>
      <c r="I21" s="1">
        <v>33604</v>
      </c>
      <c r="J21" t="b">
        <v>1</v>
      </c>
      <c r="K21" t="s">
        <v>29</v>
      </c>
      <c r="L21" t="s">
        <v>404</v>
      </c>
    </row>
    <row r="22" spans="1:12" x14ac:dyDescent="0.2">
      <c r="A22" t="s">
        <v>338</v>
      </c>
      <c r="B22" t="s">
        <v>360</v>
      </c>
      <c r="D22" t="s">
        <v>440</v>
      </c>
      <c r="E22" t="s">
        <v>360</v>
      </c>
      <c r="F22" t="s">
        <v>402</v>
      </c>
      <c r="G22" t="s">
        <v>407</v>
      </c>
      <c r="H22" t="s">
        <v>12</v>
      </c>
      <c r="I22" s="1">
        <v>25569</v>
      </c>
      <c r="J22" t="b">
        <v>1</v>
      </c>
      <c r="K22" t="s">
        <v>48</v>
      </c>
      <c r="L22" t="s">
        <v>404</v>
      </c>
    </row>
    <row r="23" spans="1:12" x14ac:dyDescent="0.2">
      <c r="A23" t="s">
        <v>336</v>
      </c>
      <c r="B23" t="s">
        <v>361</v>
      </c>
      <c r="D23" t="s">
        <v>441</v>
      </c>
      <c r="E23" t="s">
        <v>361</v>
      </c>
      <c r="F23" t="s">
        <v>414</v>
      </c>
      <c r="G23" t="s">
        <v>415</v>
      </c>
      <c r="H23" t="s">
        <v>20</v>
      </c>
      <c r="I23" s="1">
        <v>25204</v>
      </c>
      <c r="J23" t="b">
        <v>1</v>
      </c>
      <c r="K23" t="s">
        <v>21</v>
      </c>
      <c r="L23" t="s">
        <v>404</v>
      </c>
    </row>
    <row r="24" spans="1:12" x14ac:dyDescent="0.2">
      <c r="A24" t="s">
        <v>291</v>
      </c>
      <c r="B24" t="s">
        <v>362</v>
      </c>
      <c r="D24" t="s">
        <v>442</v>
      </c>
      <c r="E24" t="s">
        <v>362</v>
      </c>
      <c r="F24" t="s">
        <v>438</v>
      </c>
      <c r="G24" t="s">
        <v>424</v>
      </c>
      <c r="H24" t="s">
        <v>12</v>
      </c>
      <c r="I24" s="1">
        <v>35796</v>
      </c>
      <c r="J24" t="b">
        <v>1</v>
      </c>
      <c r="K24" t="s">
        <v>26</v>
      </c>
      <c r="L24" t="s">
        <v>404</v>
      </c>
    </row>
    <row r="25" spans="1:12" x14ac:dyDescent="0.2">
      <c r="A25" t="s">
        <v>325</v>
      </c>
      <c r="B25" t="s">
        <v>363</v>
      </c>
      <c r="D25" t="s">
        <v>443</v>
      </c>
      <c r="E25" t="s">
        <v>363</v>
      </c>
      <c r="F25" t="s">
        <v>406</v>
      </c>
      <c r="G25" t="s">
        <v>426</v>
      </c>
      <c r="H25" t="s">
        <v>12</v>
      </c>
      <c r="I25" s="1">
        <v>37987</v>
      </c>
      <c r="J25" t="b">
        <v>1</v>
      </c>
      <c r="K25" t="s">
        <v>26</v>
      </c>
      <c r="L25" t="s">
        <v>404</v>
      </c>
    </row>
    <row r="26" spans="1:12" x14ac:dyDescent="0.2">
      <c r="A26" t="s">
        <v>306</v>
      </c>
      <c r="B26" t="s">
        <v>364</v>
      </c>
      <c r="D26" t="s">
        <v>444</v>
      </c>
      <c r="E26" t="s">
        <v>364</v>
      </c>
      <c r="F26" t="s">
        <v>414</v>
      </c>
      <c r="G26" t="s">
        <v>407</v>
      </c>
      <c r="H26" t="s">
        <v>12</v>
      </c>
      <c r="I26" s="1">
        <v>30682</v>
      </c>
      <c r="J26" t="b">
        <v>1</v>
      </c>
      <c r="K26" t="s">
        <v>48</v>
      </c>
      <c r="L26" t="s">
        <v>404</v>
      </c>
    </row>
    <row r="27" spans="1:12" x14ac:dyDescent="0.2">
      <c r="A27" t="s">
        <v>303</v>
      </c>
      <c r="B27" t="s">
        <v>365</v>
      </c>
      <c r="D27" t="s">
        <v>445</v>
      </c>
      <c r="E27" t="s">
        <v>365</v>
      </c>
      <c r="F27" t="s">
        <v>414</v>
      </c>
      <c r="G27" t="s">
        <v>426</v>
      </c>
      <c r="H27" t="s">
        <v>20</v>
      </c>
      <c r="I27" s="1">
        <v>33604</v>
      </c>
      <c r="J27" t="b">
        <v>1</v>
      </c>
      <c r="K27" t="s">
        <v>21</v>
      </c>
      <c r="L27" t="s">
        <v>404</v>
      </c>
    </row>
    <row r="28" spans="1:12" x14ac:dyDescent="0.2">
      <c r="A28" t="s">
        <v>328</v>
      </c>
      <c r="B28" t="s">
        <v>366</v>
      </c>
      <c r="D28" t="s">
        <v>446</v>
      </c>
      <c r="E28" t="s">
        <v>366</v>
      </c>
      <c r="F28" t="s">
        <v>417</v>
      </c>
      <c r="G28" t="s">
        <v>419</v>
      </c>
      <c r="H28" t="s">
        <v>12</v>
      </c>
      <c r="I28" s="1">
        <v>34335</v>
      </c>
      <c r="J28" t="b">
        <v>1</v>
      </c>
      <c r="K28" t="s">
        <v>29</v>
      </c>
      <c r="L28" t="s">
        <v>404</v>
      </c>
    </row>
    <row r="29" spans="1:12" x14ac:dyDescent="0.2">
      <c r="A29" t="s">
        <v>321</v>
      </c>
      <c r="B29" t="s">
        <v>367</v>
      </c>
      <c r="D29" t="s">
        <v>447</v>
      </c>
      <c r="E29" t="s">
        <v>367</v>
      </c>
      <c r="F29" t="s">
        <v>412</v>
      </c>
      <c r="G29" t="s">
        <v>407</v>
      </c>
      <c r="H29" t="s">
        <v>20</v>
      </c>
      <c r="I29" s="1">
        <v>25934</v>
      </c>
      <c r="J29" t="b">
        <v>1</v>
      </c>
      <c r="K29" t="s">
        <v>26</v>
      </c>
      <c r="L29" t="s">
        <v>404</v>
      </c>
    </row>
    <row r="30" spans="1:12" x14ac:dyDescent="0.2">
      <c r="A30" t="s">
        <v>326</v>
      </c>
      <c r="B30" t="s">
        <v>368</v>
      </c>
      <c r="D30" t="s">
        <v>448</v>
      </c>
      <c r="E30" t="s">
        <v>368</v>
      </c>
      <c r="F30" t="s">
        <v>412</v>
      </c>
      <c r="G30" t="s">
        <v>403</v>
      </c>
      <c r="H30" t="s">
        <v>12</v>
      </c>
      <c r="I30" s="1">
        <v>26299</v>
      </c>
      <c r="J30" t="b">
        <v>1</v>
      </c>
      <c r="K30" t="s">
        <v>52</v>
      </c>
      <c r="L30" t="s">
        <v>404</v>
      </c>
    </row>
    <row r="31" spans="1:12" x14ac:dyDescent="0.2">
      <c r="A31" t="s">
        <v>313</v>
      </c>
      <c r="B31" t="s">
        <v>369</v>
      </c>
      <c r="D31" t="s">
        <v>449</v>
      </c>
      <c r="E31" t="s">
        <v>369</v>
      </c>
      <c r="F31" t="s">
        <v>438</v>
      </c>
      <c r="G31" t="s">
        <v>429</v>
      </c>
      <c r="H31" t="s">
        <v>12</v>
      </c>
      <c r="I31" s="1">
        <v>32874</v>
      </c>
      <c r="J31" t="b">
        <v>1</v>
      </c>
      <c r="K31" t="s">
        <v>52</v>
      </c>
      <c r="L31" t="s">
        <v>404</v>
      </c>
    </row>
    <row r="32" spans="1:12" x14ac:dyDescent="0.2">
      <c r="A32" t="s">
        <v>300</v>
      </c>
      <c r="B32" t="s">
        <v>370</v>
      </c>
      <c r="D32" t="s">
        <v>450</v>
      </c>
      <c r="E32" t="s">
        <v>370</v>
      </c>
      <c r="F32" t="s">
        <v>438</v>
      </c>
      <c r="G32" t="s">
        <v>415</v>
      </c>
      <c r="H32" t="s">
        <v>12</v>
      </c>
      <c r="I32" s="1">
        <v>24838</v>
      </c>
      <c r="J32" t="b">
        <v>1</v>
      </c>
      <c r="K32" t="s">
        <v>52</v>
      </c>
      <c r="L32" t="s">
        <v>404</v>
      </c>
    </row>
    <row r="33" spans="1:12" x14ac:dyDescent="0.2">
      <c r="A33" t="s">
        <v>289</v>
      </c>
      <c r="B33" t="s">
        <v>371</v>
      </c>
      <c r="D33" t="s">
        <v>451</v>
      </c>
      <c r="E33" t="s">
        <v>371</v>
      </c>
      <c r="F33" t="s">
        <v>432</v>
      </c>
      <c r="G33" t="s">
        <v>429</v>
      </c>
      <c r="H33" t="s">
        <v>12</v>
      </c>
      <c r="I33" s="1">
        <v>25934</v>
      </c>
      <c r="J33" t="b">
        <v>1</v>
      </c>
      <c r="K33" t="s">
        <v>13</v>
      </c>
      <c r="L33" t="s">
        <v>404</v>
      </c>
    </row>
    <row r="34" spans="1:12" x14ac:dyDescent="0.2">
      <c r="A34" t="s">
        <v>311</v>
      </c>
      <c r="B34" t="s">
        <v>372</v>
      </c>
      <c r="D34" t="s">
        <v>452</v>
      </c>
      <c r="E34" t="s">
        <v>372</v>
      </c>
      <c r="F34" t="s">
        <v>417</v>
      </c>
      <c r="G34" t="s">
        <v>407</v>
      </c>
      <c r="H34" t="s">
        <v>12</v>
      </c>
      <c r="I34" s="1">
        <v>34335</v>
      </c>
      <c r="J34" t="b">
        <v>1</v>
      </c>
      <c r="K34" t="s">
        <v>21</v>
      </c>
      <c r="L34" t="s">
        <v>404</v>
      </c>
    </row>
    <row r="35" spans="1:12" x14ac:dyDescent="0.2">
      <c r="A35" t="s">
        <v>301</v>
      </c>
      <c r="B35" t="s">
        <v>373</v>
      </c>
      <c r="D35" t="s">
        <v>453</v>
      </c>
      <c r="E35" t="s">
        <v>373</v>
      </c>
      <c r="F35" t="s">
        <v>421</v>
      </c>
      <c r="G35" t="s">
        <v>410</v>
      </c>
      <c r="H35" t="s">
        <v>12</v>
      </c>
      <c r="I35" s="1">
        <v>25569</v>
      </c>
      <c r="J35" t="b">
        <v>1</v>
      </c>
      <c r="K35" t="s">
        <v>13</v>
      </c>
      <c r="L35" t="s">
        <v>404</v>
      </c>
    </row>
    <row r="36" spans="1:12" x14ac:dyDescent="0.2">
      <c r="A36" t="s">
        <v>320</v>
      </c>
      <c r="B36" t="s">
        <v>374</v>
      </c>
      <c r="D36" t="s">
        <v>454</v>
      </c>
      <c r="E36" t="s">
        <v>374</v>
      </c>
      <c r="F36" t="s">
        <v>417</v>
      </c>
      <c r="G36" t="s">
        <v>407</v>
      </c>
      <c r="H36" t="s">
        <v>20</v>
      </c>
      <c r="I36" s="1">
        <v>32874</v>
      </c>
      <c r="J36" t="b">
        <v>1</v>
      </c>
      <c r="K36" t="s">
        <v>48</v>
      </c>
      <c r="L36" t="s">
        <v>404</v>
      </c>
    </row>
    <row r="37" spans="1:12" x14ac:dyDescent="0.2">
      <c r="A37" t="s">
        <v>308</v>
      </c>
      <c r="B37" t="s">
        <v>375</v>
      </c>
      <c r="D37" t="s">
        <v>455</v>
      </c>
      <c r="E37" t="s">
        <v>375</v>
      </c>
      <c r="F37" t="s">
        <v>402</v>
      </c>
      <c r="G37" t="s">
        <v>410</v>
      </c>
      <c r="H37" t="s">
        <v>12</v>
      </c>
      <c r="I37" s="1">
        <v>33970</v>
      </c>
      <c r="J37" t="b">
        <v>1</v>
      </c>
      <c r="K37" t="s">
        <v>13</v>
      </c>
      <c r="L37" t="s">
        <v>404</v>
      </c>
    </row>
    <row r="38" spans="1:12" x14ac:dyDescent="0.2">
      <c r="A38" t="s">
        <v>290</v>
      </c>
      <c r="B38" t="s">
        <v>376</v>
      </c>
      <c r="D38" t="s">
        <v>456</v>
      </c>
      <c r="E38" t="s">
        <v>376</v>
      </c>
      <c r="F38" t="s">
        <v>417</v>
      </c>
      <c r="G38" t="s">
        <v>426</v>
      </c>
      <c r="H38" t="s">
        <v>20</v>
      </c>
      <c r="I38" s="1">
        <v>26665</v>
      </c>
      <c r="J38" t="b">
        <v>1</v>
      </c>
      <c r="K38" t="s">
        <v>21</v>
      </c>
      <c r="L38" t="s">
        <v>404</v>
      </c>
    </row>
    <row r="39" spans="1:12" x14ac:dyDescent="0.2">
      <c r="A39" t="s">
        <v>335</v>
      </c>
      <c r="B39" t="s">
        <v>377</v>
      </c>
      <c r="D39" t="s">
        <v>457</v>
      </c>
      <c r="E39" t="s">
        <v>377</v>
      </c>
      <c r="F39" t="s">
        <v>417</v>
      </c>
      <c r="G39" t="s">
        <v>403</v>
      </c>
      <c r="H39" t="s">
        <v>20</v>
      </c>
      <c r="I39" s="1">
        <v>34700</v>
      </c>
      <c r="J39" t="b">
        <v>1</v>
      </c>
      <c r="K39" t="s">
        <v>52</v>
      </c>
      <c r="L39" t="s">
        <v>404</v>
      </c>
    </row>
    <row r="40" spans="1:12" x14ac:dyDescent="0.2">
      <c r="A40" t="s">
        <v>305</v>
      </c>
      <c r="B40" t="s">
        <v>378</v>
      </c>
      <c r="D40" t="s">
        <v>458</v>
      </c>
      <c r="E40" t="s">
        <v>378</v>
      </c>
      <c r="F40" t="s">
        <v>409</v>
      </c>
      <c r="G40" t="s">
        <v>407</v>
      </c>
      <c r="H40" t="s">
        <v>20</v>
      </c>
      <c r="I40" s="1">
        <v>33604</v>
      </c>
      <c r="J40" t="b">
        <v>1</v>
      </c>
      <c r="K40" t="s">
        <v>52</v>
      </c>
      <c r="L40" t="s">
        <v>404</v>
      </c>
    </row>
    <row r="41" spans="1:12" x14ac:dyDescent="0.2">
      <c r="A41" t="s">
        <v>327</v>
      </c>
      <c r="B41" t="s">
        <v>379</v>
      </c>
      <c r="D41" t="s">
        <v>459</v>
      </c>
      <c r="E41" t="s">
        <v>379</v>
      </c>
      <c r="F41" t="s">
        <v>409</v>
      </c>
      <c r="G41" t="s">
        <v>429</v>
      </c>
      <c r="H41" t="s">
        <v>20</v>
      </c>
      <c r="I41" s="1">
        <v>34700</v>
      </c>
      <c r="J41" t="b">
        <v>1</v>
      </c>
      <c r="K41" t="s">
        <v>13</v>
      </c>
      <c r="L41" t="s">
        <v>404</v>
      </c>
    </row>
    <row r="42" spans="1:12" x14ac:dyDescent="0.2">
      <c r="A42" t="s">
        <v>314</v>
      </c>
      <c r="B42" t="s">
        <v>380</v>
      </c>
      <c r="D42" t="s">
        <v>460</v>
      </c>
      <c r="E42" t="s">
        <v>380</v>
      </c>
      <c r="F42" t="s">
        <v>406</v>
      </c>
      <c r="G42" t="s">
        <v>403</v>
      </c>
      <c r="H42" t="s">
        <v>20</v>
      </c>
      <c r="I42" s="1">
        <v>26665</v>
      </c>
      <c r="J42" t="b">
        <v>1</v>
      </c>
      <c r="K42" t="s">
        <v>21</v>
      </c>
      <c r="L42" t="s">
        <v>404</v>
      </c>
    </row>
    <row r="43" spans="1:12" x14ac:dyDescent="0.2">
      <c r="A43" t="s">
        <v>294</v>
      </c>
      <c r="B43" t="s">
        <v>381</v>
      </c>
      <c r="D43" t="s">
        <v>461</v>
      </c>
      <c r="E43" t="s">
        <v>381</v>
      </c>
      <c r="F43" t="s">
        <v>421</v>
      </c>
      <c r="G43" t="s">
        <v>410</v>
      </c>
      <c r="H43" t="s">
        <v>20</v>
      </c>
      <c r="I43" s="1">
        <v>30317</v>
      </c>
      <c r="J43" t="b">
        <v>1</v>
      </c>
      <c r="K43" t="s">
        <v>29</v>
      </c>
      <c r="L43" t="s">
        <v>404</v>
      </c>
    </row>
    <row r="44" spans="1:12" x14ac:dyDescent="0.2">
      <c r="A44" t="s">
        <v>317</v>
      </c>
      <c r="B44" t="s">
        <v>382</v>
      </c>
      <c r="D44" t="s">
        <v>462</v>
      </c>
      <c r="E44" t="s">
        <v>382</v>
      </c>
      <c r="F44" t="s">
        <v>436</v>
      </c>
      <c r="G44" t="s">
        <v>415</v>
      </c>
      <c r="H44" t="s">
        <v>20</v>
      </c>
      <c r="I44" s="1">
        <v>31048</v>
      </c>
      <c r="J44" t="b">
        <v>1</v>
      </c>
      <c r="K44" t="s">
        <v>52</v>
      </c>
      <c r="L44" t="s">
        <v>404</v>
      </c>
    </row>
    <row r="45" spans="1:12" x14ac:dyDescent="0.2">
      <c r="A45" t="s">
        <v>293</v>
      </c>
      <c r="B45" t="s">
        <v>383</v>
      </c>
      <c r="D45" t="s">
        <v>463</v>
      </c>
      <c r="E45" t="s">
        <v>383</v>
      </c>
      <c r="F45" t="s">
        <v>438</v>
      </c>
      <c r="G45" t="s">
        <v>419</v>
      </c>
      <c r="H45" t="s">
        <v>20</v>
      </c>
      <c r="I45" s="1">
        <v>33239</v>
      </c>
      <c r="J45" t="b">
        <v>1</v>
      </c>
      <c r="K45" t="s">
        <v>29</v>
      </c>
      <c r="L45" t="s">
        <v>404</v>
      </c>
    </row>
    <row r="46" spans="1:12" x14ac:dyDescent="0.2">
      <c r="A46" t="s">
        <v>304</v>
      </c>
      <c r="B46" t="s">
        <v>384</v>
      </c>
      <c r="D46" t="s">
        <v>464</v>
      </c>
      <c r="E46" t="s">
        <v>384</v>
      </c>
      <c r="F46" t="s">
        <v>432</v>
      </c>
      <c r="G46" t="s">
        <v>415</v>
      </c>
      <c r="H46" t="s">
        <v>20</v>
      </c>
      <c r="I46" s="1">
        <v>37257</v>
      </c>
      <c r="J46" t="b">
        <v>1</v>
      </c>
      <c r="K46" t="s">
        <v>52</v>
      </c>
      <c r="L46" t="s">
        <v>404</v>
      </c>
    </row>
    <row r="47" spans="1:12" x14ac:dyDescent="0.2">
      <c r="A47" t="s">
        <v>292</v>
      </c>
      <c r="B47" t="s">
        <v>385</v>
      </c>
      <c r="D47" t="s">
        <v>465</v>
      </c>
      <c r="E47" t="s">
        <v>385</v>
      </c>
      <c r="F47" t="s">
        <v>421</v>
      </c>
      <c r="G47" t="s">
        <v>407</v>
      </c>
      <c r="H47" t="s">
        <v>20</v>
      </c>
      <c r="I47" s="1">
        <v>31413</v>
      </c>
      <c r="J47" t="b">
        <v>1</v>
      </c>
      <c r="K47" t="s">
        <v>29</v>
      </c>
      <c r="L47" t="s">
        <v>404</v>
      </c>
    </row>
    <row r="48" spans="1:12" x14ac:dyDescent="0.2">
      <c r="A48" t="s">
        <v>318</v>
      </c>
      <c r="B48" t="s">
        <v>386</v>
      </c>
      <c r="D48" t="s">
        <v>466</v>
      </c>
      <c r="E48" t="s">
        <v>386</v>
      </c>
      <c r="F48" t="s">
        <v>438</v>
      </c>
      <c r="G48" t="s">
        <v>407</v>
      </c>
      <c r="H48" t="s">
        <v>20</v>
      </c>
      <c r="I48" s="1">
        <v>30317</v>
      </c>
      <c r="J48" t="b">
        <v>1</v>
      </c>
      <c r="K48" t="s">
        <v>48</v>
      </c>
      <c r="L48" t="s">
        <v>404</v>
      </c>
    </row>
    <row r="49" spans="1:12" x14ac:dyDescent="0.2">
      <c r="A49" t="s">
        <v>330</v>
      </c>
      <c r="B49" t="s">
        <v>387</v>
      </c>
      <c r="D49" t="s">
        <v>467</v>
      </c>
      <c r="E49" t="s">
        <v>387</v>
      </c>
      <c r="F49" t="s">
        <v>406</v>
      </c>
      <c r="G49" t="s">
        <v>429</v>
      </c>
      <c r="H49" t="s">
        <v>20</v>
      </c>
      <c r="I49" s="1">
        <v>27395</v>
      </c>
      <c r="J49" t="b">
        <v>1</v>
      </c>
      <c r="K49" t="s">
        <v>52</v>
      </c>
      <c r="L49" t="s">
        <v>404</v>
      </c>
    </row>
    <row r="50" spans="1:12" x14ac:dyDescent="0.2">
      <c r="A50" t="s">
        <v>334</v>
      </c>
      <c r="B50" t="s">
        <v>388</v>
      </c>
      <c r="D50" t="s">
        <v>468</v>
      </c>
      <c r="E50" t="s">
        <v>388</v>
      </c>
      <c r="F50" t="s">
        <v>406</v>
      </c>
      <c r="G50" t="s">
        <v>410</v>
      </c>
      <c r="H50" t="s">
        <v>12</v>
      </c>
      <c r="I50" s="1">
        <v>33239</v>
      </c>
      <c r="J50" t="b">
        <v>1</v>
      </c>
      <c r="K50" t="s">
        <v>21</v>
      </c>
      <c r="L50" t="s">
        <v>404</v>
      </c>
    </row>
    <row r="51" spans="1:12" x14ac:dyDescent="0.2">
      <c r="A51" t="s">
        <v>316</v>
      </c>
      <c r="B51" t="s">
        <v>389</v>
      </c>
      <c r="D51" t="s">
        <v>469</v>
      </c>
      <c r="E51" t="s">
        <v>389</v>
      </c>
      <c r="F51" t="s">
        <v>421</v>
      </c>
      <c r="G51" t="s">
        <v>407</v>
      </c>
      <c r="H51" t="s">
        <v>20</v>
      </c>
      <c r="I51" s="1">
        <v>34700</v>
      </c>
      <c r="J51" t="b">
        <v>1</v>
      </c>
      <c r="K51" t="s">
        <v>26</v>
      </c>
      <c r="L51" t="s">
        <v>404</v>
      </c>
    </row>
  </sheetData>
  <sortState xmlns:xlrd2="http://schemas.microsoft.com/office/spreadsheetml/2017/richdata2" ref="A2:B52">
    <sortCondition ref="A2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botsabelo_census_v2</vt:lpstr>
      <vt:lpstr>Sheet1</vt:lpstr>
      <vt:lpstr>Orig_Patient_ID</vt:lpstr>
      <vt:lpstr>Patient_birthdate</vt:lpstr>
      <vt:lpstr>Patient_ID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Albers</dc:creator>
  <cp:lastModifiedBy>Jim Albers</cp:lastModifiedBy>
  <dcterms:created xsi:type="dcterms:W3CDTF">2026-04-10T04:49:02Z</dcterms:created>
  <dcterms:modified xsi:type="dcterms:W3CDTF">2026-04-10T04:49:02Z</dcterms:modified>
</cp:coreProperties>
</file>